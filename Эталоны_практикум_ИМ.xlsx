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Веса и КТ" sheetId="2" state="visible" r:id="rId4"/>
    <sheet name="Ловушки" sheetId="3" state="visible" r:id="rId5"/>
    <sheet name="Тест" sheetId="4" state="visible" r:id="rId6"/>
    <sheet name="ЛР1 Архитектура" sheetId="5" state="visible" r:id="rId7"/>
    <sheet name="ЛР2 TCO" sheetId="6" state="visible" r:id="rId8"/>
    <sheet name="ЛР3 SLA" sheetId="7" state="visible" r:id="rId9"/>
    <sheet name="ЛР4 Ценность инф" sheetId="8" state="visible" r:id="rId10"/>
    <sheet name="ЛР5 Портфель" sheetId="9" state="visible" r:id="rId11"/>
    <sheet name="ЛР6 COBIT" sheetId="10" state="visible" r:id="rId12"/>
    <sheet name="ЛР7 Данные и SQL" sheetId="11" state="visible" r:id="rId13"/>
    <sheet name="ЛР8 Процесс" sheetId="12" state="visible" r:id="rId14"/>
    <sheet name="ЛР9 ИТ-проект" sheetId="13" state="visible" r:id="rId15"/>
    <sheet name="ЛР10 Панель" sheetId="14" state="visible" r:id="rId16"/>
    <sheet name="ЛР11 Трансформация" sheetId="15" state="visible" r:id="rId17"/>
    <sheet name="ЛР 8 расчёт" sheetId="16" state="visible" r:id="rId18"/>
    <sheet name="ЛР 11 расчёт" sheetId="17" state="visible" r:id="rId19"/>
    <sheet name="ЛР 10 BI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<sst xmlns="http://schemas.openxmlformats.org/spreadsheetml/2006/main" count="2621" uniqueCount="829">
  <si>
    <t xml:space="preserve">Эталоны электронного практикума «Информационный менеджмент» (38.03.05), 2026/2027 уч. год, версия с ЛР 1–11</t>
  </si>
  <si>
    <t xml:space="preserve">1. Файл для преподавателя. Студентам и в открытый репозиторий не передавать: здесь ключи к ловушкам, тесту и расчётам.</t>
  </si>
  <si>
    <t xml:space="preserve">2. Итоговые 100 баллов: ЛР 1–7 — 60, ЛР 8–11 — 34, итоговый тест — 6. Каждая работа внутри оценивается на 80 % по расчётам и на 20 % по ловушкам; балл работы пересчитывается в её вес (лист «Веса и КТ»).</t>
  </si>
  <si>
    <t xml:space="preserve">3. Контрольная точка 1 — ЛР 1–5 (43 балла); контрольная точка 2 — ЛР 6–11 и итоговый тест (57 баллов). Студент сохраняет на вкладке «Отчёт» файл ФИО_группа_КТ1.json или КТ2.json и сдаёт его преподавателю.</t>
  </si>
  <si>
    <t xml:space="preserve">4. Автоматическая проверка: откройте verify.html в браузере, выберите КТ, перетащите файлы группы и нажмите «Проверить». Страница пересчитывает баллы тем же движком, что и практикум, ловит правку баллов в файле и копии чужого файла, показывает эталон индивидуального варианта каждого студента и выгружает ведомость в CSV для Excel.</t>
  </si>
  <si>
    <t xml:space="preserve">5. Детерминированные ответы (зависят только от варианта ОКВЭД) приведены ниже по всем 12 вариантам: ЛР 1, 2, 4, 5, 8, 11, задание А и В ЛР 10, выбор подхода в ЛР 9, RACI в ЛР 6, ловушки и тест.</t>
  </si>
  <si>
    <t xml:space="preserve">6. Индивидуальные данные (зависят от личного кода варианта студента): журнал инцидентов ЛР 3, описания практики ЛР 6, выгрузка справочника и SQL ЛР 7, скорость команды и показатели EVM ЛР 9, ряд данных ЛР 10. Их эталон для конкретного студента показывает verify.html (раздел «Эталон индивидуального варианта студента»).</t>
  </si>
  <si>
    <t xml:space="preserve">7. Листы «ЛР 8 расчёт» и «ЛР 11 расчёт» построены на формулах: исходные данные варианта (жёлтые ячейки) можно менять, итоги пересчитываются. Значения формул сверены с движком практикума.</t>
  </si>
  <si>
    <t xml:space="preserve">8. Ловушки: у каждого студента варианты ответа перемешаны, поэтому в листе «Ловушки» указан текст верного ответа, а не номер. Ответ открывается только после чтения всех источников (20 с на источнике или 40 с после открытия).</t>
  </si>
  <si>
    <t xml:space="preserve">9. Служебный код 0-0-0 заполняет около 75 % ответов во всех 11 работах, включая SQL-запросы ЛР 7.</t>
  </si>
  <si>
    <t xml:space="preserve">10. SQL-тренажёр ЛР 7 загружает движок SQLite (sql.js 1.10.3) с CDN cdnjs или jsDelivr; без интернета задание Г не оценивается, остальные задания работают.</t>
  </si>
  <si>
    <t xml:space="preserve">Веса работ и контрольные точки</t>
  </si>
  <si>
    <t xml:space="preserve">Таблица 1</t>
  </si>
  <si>
    <t xml:space="preserve">Распределение 100 баллов по работам и контрольным точкам</t>
  </si>
  <si>
    <t xml:space="preserve">№</t>
  </si>
  <si>
    <t xml:space="preserve">Работа</t>
  </si>
  <si>
    <t xml:space="preserve">Вес, баллов</t>
  </si>
  <si>
    <t xml:space="preserve">Внутренний максимум</t>
  </si>
  <si>
    <t xml:space="preserve">КТ</t>
  </si>
  <si>
    <t xml:space="preserve">ЛР 1. Информационные потребности и архитектура ИС</t>
  </si>
  <si>
    <t xml:space="preserve">ЛР 2. Выбор ИС по TCO</t>
  </si>
  <si>
    <t xml:space="preserve">ЛР 3. ИТ-сервис и SLA</t>
  </si>
  <si>
    <t xml:space="preserve">ЛР 4. Ценность информации</t>
  </si>
  <si>
    <t xml:space="preserve">ЛР 5. Портфель проектов информатизации</t>
  </si>
  <si>
    <t xml:space="preserve">ЛР 6. Зрелость управления ИТ (COBIT 2019)</t>
  </si>
  <si>
    <t xml:space="preserve">ЛР 7. Качество данных и SQL</t>
  </si>
  <si>
    <t xml:space="preserve">ЛР 8. Бизнес-процесс и требования</t>
  </si>
  <si>
    <t xml:space="preserve">ЛР 9. Управление ИТ-проектом</t>
  </si>
  <si>
    <t xml:space="preserve">ЛР 10. Панель руководителя и прогноз</t>
  </si>
  <si>
    <t xml:space="preserve">ЛР 11. Цифровая трансформация</t>
  </si>
  <si>
    <t xml:space="preserve">Итоговый тест</t>
  </si>
  <si>
    <t xml:space="preserve">Итого</t>
  </si>
  <si>
    <t xml:space="preserve">КТ 1, баллов</t>
  </si>
  <si>
    <t xml:space="preserve">КТ 2, баллов</t>
  </si>
  <si>
    <t xml:space="preserve">Балл работы в итоге = внутренний балл / внутренний максимум × вес. Шкала оценки: 85 % и выше — отлично, 70 % — хорошо, 55 % — удовлетворительно. Таблица показывает, что ЛР 8–11 получили 34 из 100 баллов без снижения значимости базовых ЛР 1–7.</t>
  </si>
  <si>
    <t xml:space="preserve">Ловушки по лабораторным работам: верный ответ, обоснование, источники</t>
  </si>
  <si>
    <t xml:space="preserve">ЛР</t>
  </si>
  <si>
    <t xml:space="preserve">Ловушка</t>
  </si>
  <si>
    <t xml:space="preserve">Ситуация</t>
  </si>
  <si>
    <t xml:space="preserve">Эталонный ответ</t>
  </si>
  <si>
    <t xml:space="preserve">Неверные варианты</t>
  </si>
  <si>
    <t xml:space="preserve">Обоснование</t>
  </si>
  <si>
    <t xml:space="preserve">Источник 1</t>
  </si>
  <si>
    <t xml:space="preserve">Источник 2</t>
  </si>
  <si>
    <t xml:space="preserve">Шина «на всякий случай»</t>
  </si>
  <si>
    <t xml:space="preserve">У фирмы три прикладные системы, и каждая обменивается данными с каждой. Консультант предлагает срочно купить интеграционную шину (ESB): «шина всегда сокращает число интеграций». Как поступить?</t>
  </si>
  <si>
    <t xml:space="preserve">Не спешить: при трёх системах прямых связей 3·2/2 = 3, к шине тоже 3 подключения, выигрыша нет, а шина — ещё одна система со своей TCO. К вопросу стоит вернуться, когда систем станет больше.</t>
  </si>
  <si>
    <t xml:space="preserve">— Купить сейчас: шина уменьшает число интерфейсов при любом числе систем, а значит, снижает затраты на сопровождение интеграций.
— Купить, если системы от разных производителей: шина нужна прежде всего для совместимости форматов данных, а не для сокращения числа связей.</t>
  </si>
  <si>
    <t xml:space="preserve">По формуле (2) при n = 3 сокращение ΔL = 0. В докладе на Infostart подчёркнуто, что шина помогает, только если понятна причина сильной связности систем; по определению CNews её назначение — централизованно управлять интеграцией, а не экономить на числе связей при любом составе.</t>
  </si>
  <si>
    <t xml:space="preserve">Интеграционные шины — ключевой элемент качественной архитектуры (доклад, конференция Infostart, 2023)</t>
  </si>
  <si>
    <t xml:space="preserve">Сервисная шина предприятия (ESB): определение и назначение. CNews</t>
  </si>
  <si>
    <t xml:space="preserve">Подписка «всё включено»</t>
  </si>
  <si>
    <t xml:space="preserve">Поставщик облачной системы говорит: «В подписку входит всё, других расходов у вас не будет». Какие затраты фирма всё равно должна включить в TCO?</t>
  </si>
  <si>
    <t xml:space="preserve">Обучение сотрудников, перенос и интеграцию данных, время собственного персонала на сопровождение системы.</t>
  </si>
  <si>
    <t xml:space="preserve">— Никаких: при подписке поставщик берёт на себя сопровождение, обучение и интеграцию, поэтому TCO равна сумме платежей за подписку.
— Только налоги и банковские комиссии с платежей: остальные расходы поставщик уже заложил в цену подписки.</t>
  </si>
  <si>
    <t xml:space="preserve">TCO — не только платежи поставщику. В источнике отдельно выделены затраты на обучение и операционные расходы, причём обучение названо статьёй, которую чаще всего недооценивают.</t>
  </si>
  <si>
    <t xml:space="preserve">Общая стоимость владения (TCO): что это такое, составные части и как рассчитать. Инвестфьючер</t>
  </si>
  <si>
    <t xml:space="preserve">—</t>
  </si>
  <si>
    <t xml:space="preserve">Иностранная система дешевле</t>
  </si>
  <si>
    <t xml:space="preserve">Государственное учреждение выбирает информационную систему. Иностранная по TCO на 15 % дешевле российской из реестра. Можно ли закупить иностранную систему для государственных нужд?</t>
  </si>
  <si>
    <t xml:space="preserve">Нет: действует запрет на допуск иностранного ПО (постановление № 1236). Отступить от него можно, только если в реестре нет ПО нужного класса или оно не обладает нужной функциональностью, и это надо обосновать.</t>
  </si>
  <si>
    <t xml:space="preserve">— Да: заказчик обязан выбрать вариант с наименьшей совокупной стоимостью владения, происхождение ПО при этом значения не имеет.
— Да, если иностранный поставщик откроет российское юрлицо и выставит счёт в рублях: тогда его ПО считается отечественным.</t>
  </si>
  <si>
    <t xml:space="preserve">Постановление Правительства РФ от 16.11.2015 № 1236 запрещает допуск ПО, происходящего из иностранных государств, для государственных и муниципальных нужд. Исключение — отсутствие в реестре российского ПО нужного класса или нужной функциональности, с обоснованием.</t>
  </si>
  <si>
    <t xml:space="preserve">Запрет на допуск иностранного ПО: постановление Правительства РФ от 16.11.2015 № 1236. КонсультантПлюс</t>
  </si>
  <si>
    <t xml:space="preserve">Третий раз за месяц</t>
  </si>
  <si>
    <t xml:space="preserve">Модуль электронных медицинских карт падает третий раз за месяц. Каждый раз дежурный быстро восстанавливает работу перезагрузкой. Что должна сделать ИТ-служба по ITIL?</t>
  </si>
  <si>
    <t xml:space="preserve">Восстанавливать работу в рамках управления инцидентами и открыть проблему, чтобы найти и устранить первопричину повторяющихся сбоев.</t>
  </si>
  <si>
    <t xml:space="preserve">— Каждый раз регистрировать и закрывать инцидент: работа восстановлена, а срок решения по SLA выдержан.
— Поднять всем трём инцидентам приоритет до P1: высокий приоритет сам по себе устранит причину повторных сбоев.</t>
  </si>
  <si>
    <t xml:space="preserve">Цель управления инцидентами — скорейшее восстановление услуги, цель управления проблемами — предотвращение инцидентов в будущем. Закрытие инцидента без поиска первопричины даёт лишь временное облегчение.</t>
  </si>
  <si>
    <t xml:space="preserve">Управление инцидентами и управление проблемами в ITIL: в чём разница. Хабр, блог IT Guild</t>
  </si>
  <si>
    <t xml:space="preserve">Сведения, которые ничего не меняют</t>
  </si>
  <si>
    <t xml:space="preserve">Одна из альтернатив даёт наибольший результат при ЛЮБОМ состоянии среды. Аналитики предлагают купить прогноз за 0,5 млн руб. Сколько стоит этот прогноз для данного решения?</t>
  </si>
  <si>
    <t xml:space="preserve">Ноль: при любом прогнозе выбор останется прежним, поэтому EVwPI = max EMV и EVPI = 0.</t>
  </si>
  <si>
    <t xml:space="preserve">— 0,5 млн руб.: ценность информации для решения равна цене, которую за неё просит продавец.
— Столько, сколько составляет разброс результатов лучшей альтернативы между худшим и лучшим состоянием среды.</t>
  </si>
  <si>
    <t xml:space="preserve">По формулам (8)–(9), если одна альтернатива лучшая в каждом состоянии, то max по альтернативам в каждом столбце — это она же, EVwPI совпадает с её EMV и EVPI = 0. EVPI — это цена, которую разумно заплатить за устранение неопределённости; если неопределённость не влияет на выбор, платить не за что.</t>
  </si>
  <si>
    <t xml:space="preserve">Expected Value of Perfect Information (EVPI). Глоссарий York Health Economics Consortium (англ.)</t>
  </si>
  <si>
    <t xml:space="preserve">Отрицательный NV</t>
  </si>
  <si>
    <t xml:space="preserve">Проект «Приведение обработки ПДн в соответствие со 152-ФЗ» даёт отрицательный NV. Финансовый директор предлагает исключить его из портфеля. Согласны?</t>
  </si>
  <si>
    <t xml:space="preserve">Нет: меры по ст. 18.1 и 19 закона № 152-ФЗ — обязанность оператора, а после изменений 420-ФЗ (с 30.05.2025) штрафы по ст. 13.11 КоАП резко выросли. Цена неисполнения выше отрицательного NV.</t>
  </si>
  <si>
    <t xml:space="preserve">— Да: по задаче (11) в портфель включают только проекты с положительным NV, иначе общий эффект портфеля снижается.
— Да, если персональных данных в фирме немного: закон № 152-ФЗ обязывает принимать меры защиты только крупных операторов.</t>
  </si>
  <si>
    <t xml:space="preserve">Статьи 18.1 и 19 закона № 152-ФЗ обязывают оператора принимать организационные и технические меры защиты. С 30.05.2025 по закону № 420-ФЗ штрафы по ст. 13.11 КоАП резко увеличены, за повторные утечки — в процентах от выручки. Обязательный проект оценивают по цене несоблюдения закона, а не по NV.</t>
  </si>
  <si>
    <t xml:space="preserve">Федеральный закон от 27.07.2006 № 152-ФЗ «О персональных данных», ст. 18.1 и 19. КонсультантПлюс</t>
  </si>
  <si>
    <t xml:space="preserve">Ответственность за нарушения в области персональных данных, ст. 13.11 КоАП РФ (изменения 420-ФЗ). КонсультантПлюс</t>
  </si>
  <si>
    <t xml:space="preserve">Метрики без регламента</t>
  </si>
  <si>
    <t xml:space="preserve">В отделе ежемесячно собирают показатели по инцидентам, но утверждённого регламента нет: каждый ведёт процесс по-своему. Аудитор-стажёр ставит уровень 4, «потому что есть метрики». Какой уровень верен?</t>
  </si>
  <si>
    <t xml:space="preserve">2: для уровня 4 процесс должен быть ещё и хорошо определён (это условие уровня 3). Пока нет единого регламента, измерения не поднимают уровень выше 2.</t>
  </si>
  <si>
    <t xml:space="preserve">— 4: показатели процесса измеряются ежемесячно, а это и есть признак количественно управляемого процесса.
— 5: накопленных показателей достаточно, чтобы постоянно улучшать процесс на основе измерений.</t>
  </si>
  <si>
    <t xml:space="preserve">По определениям COBIT 2019 уровень 3 означает хорошо определённый процесс, а уровень 4 — процесс, который «хорошо определён И измеряется количественно». Без условия уровня 3 уровень 4 недостижим, сколько бы показателей ни собирали.</t>
  </si>
  <si>
    <t xml:space="preserve">COBIT 2019: Capability Levels 0–5 (определения уровней по рис. 6.2 руководства, англ.)</t>
  </si>
  <si>
    <t xml:space="preserve">Effective Capability and Maturity Assessment Using COBIT 2019. ISACA (англ.)</t>
  </si>
  <si>
    <t xml:space="preserve">ИНН прошёл проверку</t>
  </si>
  <si>
    <t xml:space="preserve">У нового контрагента сошлась контрольная цифра ИНН. Менеджер считает, что контрагент проверен. Прав ли он?</t>
  </si>
  <si>
    <t xml:space="preserve">Нет: контрольная цифра ловит только опечатку в номере. Существует ли организация и действует ли она, проверяют по ЕГРЮЛ на сайте ФНС.</t>
  </si>
  <si>
    <t xml:space="preserve">— Да: контрольная цифра вычисляется по алгоритму ФНС, значит, номер с верной контрольной цифрой выдан налоговой.
— Да, если первые две цифры ИНН совпадают с кодом региона, в котором работает контрагент.</t>
  </si>
  <si>
    <t xml:space="preserve">Последняя цифра ИНН — контрольная, она вычисляется из остальных и выявляет ошибку набора. Существование организации подтверждают только сведения ЕГРЮЛ, которые ФНС предоставляет бесплатно в электронном виде.</t>
  </si>
  <si>
    <t xml:space="preserve">ИНН юридического лица: структура номера и как проверить организацию. ppt.ru</t>
  </si>
  <si>
    <t xml:space="preserve">Предоставление сведений из ЕГРЮЛ/ЕГРИП в электронном виде. Сервис ФНС России</t>
  </si>
  <si>
    <t xml:space="preserve">Каждая система знает своих клиентов</t>
  </si>
  <si>
    <t xml:space="preserve">Отдел продаж ведёт клиентов в CRM, бухгалтерия — в учётной системе. Раз в месяц списки сверяют вручную и каждый раз находят расхождения в реквизитах. Директор считает это нормой: «каждая система знает своих клиентов». Как поступить?</t>
  </si>
  <si>
    <t xml:space="preserve">Назначить одну систему источником эталонной записи о клиенте или внедрить MDM: запись создают и исправляют только там, остальные системы получают её копию.</t>
  </si>
  <si>
    <t xml:space="preserve">— Оставить как есть, но сверять еженедельно: чем чаще сверка, тем меньше расхождений, а менять архитектуру не придётся.
— Разрешить каждой системе вести свой справочник, а расхождения устранять в BI-отчётах при построении аналитики.</t>
  </si>
  <si>
    <t xml:space="preserve">Пока каждая операционная система сама себе источник мастер-данных, расхождения неизбежны и их разбирают вручную. Команда управления данными «Ростелекома» описывает цель MDM как единые выверенные справочники, которые служат эталонными значениями для всех систем.</t>
  </si>
  <si>
    <t xml:space="preserve">Тысяча и один справочник в Master Data Management Ростелекома. Хабр, блог компании «Ростелеком», 2021</t>
  </si>
  <si>
    <t xml:space="preserve">Дешёвый вход, дорогой выход</t>
  </si>
  <si>
    <t xml:space="preserve">В договоре облачного поставщика сказано: после расторжения доступ закрывается через 30 дней, выгружаются только записи, без истории изменений и журнала, в формате поставщика. Закупщик уверен, что на выбор это не влияет: «TCO у подписки ниже». Прав ли он?</t>
  </si>
  <si>
    <t xml:space="preserve">Не прав: затраты и риски выхода (неполная выгрузка, перенос данных, сроки) оценивают заранее — по критерию независимости от поставщика и по условиям договора о том, что, в каком формате и в какие сроки фирма заберёт.</t>
  </si>
  <si>
    <t xml:space="preserve">— Прав: затраты на уход возникнут через несколько лет, а TCO считается только за срок использования.
— Прав, если поставщик включён в реестр российского ПО: тогда полная выгрузка данных гарантирована законом.</t>
  </si>
  <si>
    <t xml:space="preserve">Зависимость от поставщика возникает, когда его смена перестаёт быть простой закупкой. Автор статьи в блоге ITSM 365 предупреждает: данные часто можно экспортировать, но не в пригодном для работы виде, без истории и связей. Он советует письменно фиксировать, что, в каком формате и в какие сроки заказчик сможет забрать.</t>
  </si>
  <si>
    <t xml:space="preserve">Зависимость от вендора: что должен знать каждый ITAM-специалист. Хабр, блог компании ITSM 365, 2026</t>
  </si>
  <si>
    <t xml:space="preserve">Облако даёт 99,95 %</t>
  </si>
  <si>
    <t xml:space="preserve">Сервис «МИС» перенесён в облако с доступностью 99,95 %, а пользователи подключаются через канал провайдера с доступностью 99,5 %. Подрядчик предлагает записать в SLA с бизнесом 99,95 %: «это же гарантия облака». Какую доступность можно обещать?</t>
  </si>
  <si>
    <t xml:space="preserve">Не выше 0,9995 × 0,995 ≈ 99,45 %: сервис работает, только когда работают все последовательно связанные компоненты, поэтому их доступности перемножают.</t>
  </si>
  <si>
    <t xml:space="preserve">— 99,95 %: сквозную доступность определяет самый надёжный компонент, а канал связи — забота провайдера.
— 99,5 %: сквозная доступность равна доступности самого слабого звена цепочки.</t>
  </si>
  <si>
    <t xml:space="preserve">При последовательной зависимости ответ приходит, только если работают все звенья, поэтому доступности перемножаются, и итог ниже, чем у любого компонента. В примере А. Эверлёфа 0,998 × 0,953 ≈ 0,951.</t>
  </si>
  <si>
    <t xml:space="preserve">Ewerlöf A. Composite SLO, 2024 (англ.)</t>
  </si>
  <si>
    <t xml:space="preserve">Точный в 75 % случаев</t>
  </si>
  <si>
    <t xml:space="preserve">Продавец сведений («анализ маршрутизации пациентов и статистики ТФОМС») говорит: «Прогноз верен в 75 % случаев, а EVPI выше нашей цены, значит, покупка окупится». Верно ли рассуждение?</t>
  </si>
  <si>
    <t xml:space="preserve">Неверно: EVPI оценивает совершенный прогноз. Ценность прогноза с ошибками (EVSI) ниже, и сравнивать цену нужно с ней.</t>
  </si>
  <si>
    <t xml:space="preserve">— Верно: если цена ниже EVPI, покупка окупается при любой точности прогноза.
— Верно, если точность выше 50 %: тогда ценность прогноза равна EVPI, умноженной на точность.</t>
  </si>
  <si>
    <t xml:space="preserve">Дополнительное исследование обычно уменьшает, а не устраняет неопределённость, поэтому совершенная информация недоступна. Для этого случая глоссарий YHEC вводит EVSI — ожидаемую ценность выборочной информации; по формуле (9а) она не превышает EVPI.</t>
  </si>
  <si>
    <t xml:space="preserve">Expected Value of Sample Information (EVSI). Глоссарий York Health Economics Consortium (англ.)</t>
  </si>
  <si>
    <t xml:space="preserve">Уже вложили — надо доделать</t>
  </si>
  <si>
    <t xml:space="preserve">Проект, начатый в прошлом году, не завершён, на него уже потратили 1,5 млн руб. Руководитель подразделения требует включить его в портфель вне очереди: «иначе деньги пропадут». Как оценить такой проект?</t>
  </si>
  <si>
    <t xml:space="preserve">Оценивать наравне с другими, только по будущим затратам на завершение и будущему эффекту: потраченные 1,5 млн руб. не вернутся ни при каком решении.</t>
  </si>
  <si>
    <t xml:space="preserve">— Включить вне очереди: прошлые затраты прибавляют к эффекту проекта, иначе их придётся списать как убыток.
— Исключить: проект, который однажды не удалось завершить, по определению имеет вероятность успеха ниже 0,5.</t>
  </si>
  <si>
    <t xml:space="preserve">Это ошибка невозвратных затрат: чем больше вложено, тем сильнее желание продолжать, и в итоге теряется больше. Т—Ж предлагает проверочный вопрос: продолжил бы я, если бы ещё ничего не вложил? В формуле (10) C — будущие затраты, прошлые расходы в неё не входят.</t>
  </si>
  <si>
    <t xml:space="preserve">Белицкая С. Что такое ошибка невозвратных затрат и как ее избежать. Т—Ж, 2025</t>
  </si>
  <si>
    <t xml:space="preserve">Уровень 5 для всех</t>
  </si>
  <si>
    <t xml:space="preserve">Новый директор поручает ИТ-службе вывести все процессы COBIT на уровень 5: «зачем стремиться к меньшему?». Как ответить?</t>
  </si>
  <si>
    <t xml:space="preserve">Объяснить, что целевые уровни выводят из факторов проектирования системы управления и важности процессов для бизнеса фирмы: для разных процессов они разные и обычно не выше 4.</t>
  </si>
  <si>
    <t xml:space="preserve">— Согласиться: уровень 5 — норма для любой организации, а более низкая цель означает, что руководство мирится с недостатками.
— Согласиться только для процессов безопасности: по COBIT 2019 им всегда назначают уровень 5.</t>
  </si>
  <si>
    <t xml:space="preserve">В COBIT 2019 целевые уровни выводят из факторов проектирования и приоритета целей управления. В примере, который разбирают авторы ISACA, уровень 4 получают цели с оценкой важности от 75, уровень 3 — от 50, и ни одной цели не назначен уровень выше 4. Авторы подчёркивают, что не все процессы одинаково критичны.</t>
  </si>
  <si>
    <t xml:space="preserve">Souza Neto J., Almeida R., Mira da Silva M. Defining Target Capability Levels in COBIT 2019: A Proposal for Refinement. ISACA, 2019 (англ.)</t>
  </si>
  <si>
    <t xml:space="preserve">Один ИНН — одна строка</t>
  </si>
  <si>
    <t xml:space="preserve">Стажёр предлагает почистить справочник автоматически: все строки с одинаковым ИНН объединить в одну как дубли. Можно ли так делать?</t>
  </si>
  <si>
    <t xml:space="preserve">Нельзя без проверки КПП: у организации может быть несколько КПП, и у обособленного подразделения тот же ИНН, но свой КПП. Дубль — это совпадение ИНН, КПП и наименования.</t>
  </si>
  <si>
    <t xml:space="preserve">— Можно: ИНН присваивается организации один раз, поэтому две строки с одним ИНН всегда описывают одного и того же контрагента.
— Можно, если совпадают ещё и первые цифры телефона: тогда это гарантированно одна и та же запись.</t>
  </si>
  <si>
    <t xml:space="preserve">ИНН у организации один, а КПП может быть несколько: справка Контур.Экстерна прямо указывает, что КПП филиала всегда отличается от КПП головной организации. Слияние строк только по ИНН уничтожит реквизиты филиалов, на которые выставляют документы.</t>
  </si>
  <si>
    <t xml:space="preserve">Что такое КПП: как узнать и где указывается. Справка Контур.Экстерна</t>
  </si>
  <si>
    <t xml:space="preserve">Ускорить согласование</t>
  </si>
  <si>
    <t xml:space="preserve">Руководитель предлагает ускорить шаг 4: перевести бумажную визу в систему электронного документооборота, ожидание сократится с четырёх часов до получаса. За последний год руководитель не отклонил ни одной заявки. Что предложить?</t>
  </si>
  <si>
    <t xml:space="preserve">Исключить шаг для обычных заявок и оставить согласование только для заявок выше порогового размера: виза, которая ничего не меняет, не создаёт ценности, и автоматизировать её незачем.</t>
  </si>
  <si>
    <t xml:space="preserve">— Перевести согласование в СЭД: ожидание сократится в восемь раз, а контроль руководителя сохранится, это лучший компромисс.
— Оставить бумажную визу: электронное согласование юридически слабее подписи руководителя на бумаге, и риск спора с клиентом вырастет.</t>
  </si>
  <si>
    <t xml:space="preserve">М. Хаммер в статье 1990 г. призывал не автоматизировать устаревшие процессы, а устранять работу, которая не создаёт ценности. Согласование, которое за год ни разу не изменило результат, — именно такая работа: в TO-BE её исключают, а контроль переносят на исключения.</t>
  </si>
  <si>
    <t xml:space="preserve">Hammer M. Reengineering Work: Don't Automate, Obliterate. Harvard Business Review, 1990, July–August (англ.)</t>
  </si>
  <si>
    <t xml:space="preserve">Реинжиниринг бизнес-процессов. Википедия</t>
  </si>
  <si>
    <t xml:space="preserve">Добавим людей</t>
  </si>
  <si>
    <t xml:space="preserve">Проект отстаёт на два спринта, до срока сдачи месяц. Директор предлагает перевести в команду ещё троих разработчиков из соседнего отдела: «впятером не успеваем — ввосьмером успеем в 1,6 раза быстрее». Как ответить?</t>
  </si>
  <si>
    <t xml:space="preserve">Возразить: новичков придётся вводить в проект, а каналов связи станет 28 вместо 10, и поздно добавленные люди скорее задержат проект. Лучше сократить объём по приоритетам бэклога или перенести срок.</t>
  </si>
  <si>
    <t xml:space="preserve">— Согласиться: объём работы делится на число людей, поэтому восемь человек закончат в 1,6 раза быстрее пятерых.
— Согласиться при условии, что новые разработчики сразу возьмут самые сложные задачи: так отставание закроется быстрее всего.</t>
  </si>
  <si>
    <t xml:space="preserve">Закон Брукса: добавление людей в опаздывающий проект задерживает его ещё больше. Старожилы тратят время на обучение новичков, а число парных каналов связи растёт как n(n − 1)/2: с 10 при пяти участниках до 28 при восьми.</t>
  </si>
  <si>
    <t xml:space="preserve">Николаев Б. Мифический человеко-месяц 45 лет спустя. Хабр, блог Райффайзенбанка, 2020</t>
  </si>
  <si>
    <t xml:space="preserve">Brooks' Law: Adding Manpower to a Late Project Makes It Later. Effectiviology (англ.)</t>
  </si>
  <si>
    <t xml:space="preserve">Рост втрое</t>
  </si>
  <si>
    <t xml:space="preserve">На слайде для совета директоров два столбца: выручка 98 и 104 млн руб., второй столбец втрое выше первого. Ось значений начинается с 95. Докладчик говорит о «кратном росте». Как прочитать график?</t>
  </si>
  <si>
    <t xml:space="preserve">Рост около 6 %: ось обрезана и начинается с 95, поэтому разница длин столбцов преувеличена. Столбчатую диаграмму нужно строить от нуля.</t>
  </si>
  <si>
    <t xml:space="preserve">— Рост действительно кратный: высота столбца на слайде пропорциональна выручке, график построен автоматически BI-системой.
— Рост нельзя оценить без данных за прошлый год, график о динамике ничего не говорит.</t>
  </si>
  <si>
    <t xml:space="preserve">В столбчатой диаграмме значение кодирует длина столбца, поэтому шкала обязана начинаться с нуля. Т—Ж разбирает именно этот приём: обрезанная ось превращает небольшое преимущество в «превосходство на голову».</t>
  </si>
  <si>
    <t xml:space="preserve">Смагин А. Одураченные статистикой: два самых частых способа обмана при помощи некорректных графиков. Т—Ж, 2024</t>
  </si>
  <si>
    <t xml:space="preserve">Трансформация завершена</t>
  </si>
  <si>
    <t xml:space="preserve">Директор отчитывается: все бумажные формы фирмы переведены в PDF и электронные таблицы, документы хранятся в облаке, — «цифровая трансформация завершена». Верно ли это?</t>
  </si>
  <si>
    <t xml:space="preserve">Неверно: это оцифровка документов, в лучшем случае цифровизация отдельных процессов. Трансформация меняет продукты, бизнес-модель и операционную модель фирмы.</t>
  </si>
  <si>
    <t xml:space="preserve">— Верно: перевод всех документов в цифровой вид и есть цифровая трансформация, следующий шаг — автоматизация отчётности.
— Верно, если затраты на перевод окупились: трансформацию оценивают по экономии на бумаге и хранении.</t>
  </si>
  <si>
    <t xml:space="preserve">Цифровизация — внедрение цифровых технологий в конкретный бизнес-процесс ради его оптимизации; цифровая трансформация — комплексное преобразование предприятия, его продуктов, бизнес- и операционной модели (СберПро). Перевод бумаги в файлы не меняет ни того, ни другого.</t>
  </si>
  <si>
    <t xml:space="preserve">Что такое цифровизация и цифровая трансформация в России: задачи и результаты. СберПро</t>
  </si>
  <si>
    <t xml:space="preserve">Итоговый тест: 12 вопросов (6 баллов)</t>
  </si>
  <si>
    <t xml:space="preserve">Вопрос</t>
  </si>
  <si>
    <t xml:space="preserve">Верный ответ</t>
  </si>
  <si>
    <t xml:space="preserve">Пояснение</t>
  </si>
  <si>
    <t xml:space="preserve">Чем совокупная стоимость владения (TCO) отличается от цены покупки системы?</t>
  </si>
  <si>
    <t xml:space="preserve">TCO включает ежегодные затраты на поддержку, инфраструктуру и персонал за весь срок использования</t>
  </si>
  <si>
    <t xml:space="preserve">У SaaS цена входа низкая, а подписка за пять лет может превысить стоимость коробочного решения; сравнивать нужно по формуле (3).</t>
  </si>
  <si>
    <t xml:space="preserve">Сервис недоступен всем пользователям, но ночью, когда смена не работает; к утру его нужно восстановить. Приоритет по ITIL?</t>
  </si>
  <si>
    <t xml:space="preserve">P2</t>
  </si>
  <si>
    <t xml:space="preserve">Влияние высокое (все пользователи), срочность средняя (ущерб наступит утром) — P2.</t>
  </si>
  <si>
    <t xml:space="preserve">Целевая доступность 99,9 % за 30 суток. Сколько минут простоя допустимо?</t>
  </si>
  <si>
    <t xml:space="preserve">Около 43 минут</t>
  </si>
  <si>
    <t xml:space="preserve">43 200 мин × 0,001 = 43,2 мин.</t>
  </si>
  <si>
    <t xml:space="preserve">Процесс выполняется по утверждённому регламенту, роли закреплены, но показатели не собираются. Уровень по COBIT 2019?</t>
  </si>
  <si>
    <t xml:space="preserve">3</t>
  </si>
  <si>
    <t xml:space="preserve">Уровень 4 требует измерения процесса показателями; регламент и роли без измерений — уровень 3.</t>
  </si>
  <si>
    <t xml:space="preserve">EVPI решения равна 2 млн руб., исследование рынка стоит 1,5 млн руб. и даёт верный прогноз в 70 % случаев. Вывод?</t>
  </si>
  <si>
    <t xml:space="preserve">Окупаемость не гарантирована: EVPI — верхняя граница, неполная информация стоит меньше</t>
  </si>
  <si>
    <t xml:space="preserve">Формула (9) даёт ценность совершенного прогноза; ценность прогноза с ошибками ниже.</t>
  </si>
  <si>
    <t xml:space="preserve">Почему проект с наибольшим эффектом может не войти в оптимальный портфель?</t>
  </si>
  <si>
    <t xml:space="preserve">Бюджет ограничен: важна суммарная отдача комбинации, а дорогой проект вытесняет несколько выгодных</t>
  </si>
  <si>
    <t xml:space="preserve">Задача (11) — задача о рюкзаке; оптимум ищут по комбинации проектов.</t>
  </si>
  <si>
    <t xml:space="preserve">Шесть систем обмениваются данными каждая с каждой. Сколько интерфейсов нужно поддерживать?</t>
  </si>
  <si>
    <t xml:space="preserve">15</t>
  </si>
  <si>
    <t xml:space="preserve">По формуле (2): 6 × 5 / 2 = 15. При интеграционной шине — 6 подключений.</t>
  </si>
  <si>
    <t xml:space="preserve">Шаг согласования за год не отклонил ни одной заявки, но добавляет к циклу четыре часа ожидания. Что предложить по логике реинжиниринга?</t>
  </si>
  <si>
    <t xml:space="preserve">Исключить шаг или оставить согласование только для заявок выше порога</t>
  </si>
  <si>
    <t xml:space="preserve">Согласование, которое никогда не меняет результат, не создаёт ценности. Автоматизация лишь ускорит ненужную работу; по Хаммеру такой шаг устраняют.</t>
  </si>
  <si>
    <t xml:space="preserve">На контрольную дату CPI = 0,85, SPI = 1,05. Каково состояние проекта?</t>
  </si>
  <si>
    <t xml:space="preserve">Опережает график, бюджет перерасходуется</t>
  </si>
  <si>
    <t xml:space="preserve">SPI &gt; 1 — освоено больше, чем запланировано на дату; CPI &lt; 1 — каждый рубль затрат дал меньше 1 рубля освоенного объёма.</t>
  </si>
  <si>
    <t xml:space="preserve">Почему ось столбчатой диаграммы должна начинаться с нуля?</t>
  </si>
  <si>
    <t xml:space="preserve">Длина столбца кодирует значение: обрезанная ось преувеличивает различия</t>
  </si>
  <si>
    <t xml:space="preserve">Читатель сравнивает длины столбцов. Если ось начинается с 95, рост с 98 до 104 выглядит трёхкратным, хотя составляет около 6 %.</t>
  </si>
  <si>
    <t xml:space="preserve">Чем цифровая трансформация отличается от цифровизации?</t>
  </si>
  <si>
    <t xml:space="preserve">Трансформация меняет продукты, бизнес-модель и операционную модель фирмы, а не отдельный процесс</t>
  </si>
  <si>
    <t xml:space="preserve">Цифровизация внедряет технологии в отдельный бизнес-процесс; трансформация перестраивает фирму целиком, включая способ зарабатывать.</t>
  </si>
  <si>
    <t xml:space="preserve">Какой стандарт задаёт принципы корпоративного руководства ИТ для высшего руководства организации?</t>
  </si>
  <si>
    <t xml:space="preserve">ISO/IEC 38500</t>
  </si>
  <si>
    <t xml:space="preserve">ISO/IEC 38500 формулирует принципы руководства ИТ; ISO/IEC 25012 — модель качества данных; ISO 15489 — управление документами.</t>
  </si>
  <si>
    <t xml:space="preserve">ЛР1: эталонные ответы по 12 вариантам</t>
  </si>
  <si>
    <t xml:space="preserve">Показатель</t>
  </si>
  <si>
    <t xml:space="preserve">01.11
СПК «Колос Предгорья»</t>
  </si>
  <si>
    <t xml:space="preserve">10.51
АО «Молочная долина Юг»</t>
  </si>
  <si>
    <t xml:space="preserve">41.20
ООО «СтавСтройИнвест»</t>
  </si>
  <si>
    <t xml:space="preserve">47.11
ООО «Продмаркет-Юг»</t>
  </si>
  <si>
    <t xml:space="preserve">47.91
ООО «Уютный дом онлайн»</t>
  </si>
  <si>
    <t xml:space="preserve">49.41
ООО «ЮгТрансЛогистик»</t>
  </si>
  <si>
    <t xml:space="preserve">55.10
Гостиница «Машук-Парк» (ООО)</t>
  </si>
  <si>
    <t xml:space="preserve">62.01
ООО «Кодекс-Софт Юг»</t>
  </si>
  <si>
    <t xml:space="preserve">64.19
АО «Банк Ставрополье-Кредит»</t>
  </si>
  <si>
    <t xml:space="preserve">69.20
ООО «Учёт-Консалт Плюс»</t>
  </si>
  <si>
    <t xml:space="preserve">85.22
АНО ВО «Институт цифровой экономики Юга»</t>
  </si>
  <si>
    <t xml:space="preserve">86.10
ООО «Клиника Здоровье-Юг»</t>
  </si>
  <si>
    <t xml:space="preserve">А, процесс 1: Планирование севооборота и технологических карт</t>
  </si>
  <si>
    <t xml:space="preserve">Отраслевая система</t>
  </si>
  <si>
    <t xml:space="preserve">ERP</t>
  </si>
  <si>
    <t xml:space="preserve">TMS</t>
  </si>
  <si>
    <t xml:space="preserve">Отраслевая система или CRM</t>
  </si>
  <si>
    <t xml:space="preserve">А, процесс 2: Мониторинг техники и расхода ГСМ</t>
  </si>
  <si>
    <t xml:space="preserve">MES или ERP</t>
  </si>
  <si>
    <t xml:space="preserve">WMS/SCM или ERP</t>
  </si>
  <si>
    <t xml:space="preserve">Отраслевая система или ERP</t>
  </si>
  <si>
    <t xml:space="preserve">HRM или ERP</t>
  </si>
  <si>
    <t xml:space="preserve">А, процесс 3: Бухгалтерский учёт и закупки</t>
  </si>
  <si>
    <t xml:space="preserve">Отраслевая система или СЭД/ЭДО</t>
  </si>
  <si>
    <t xml:space="preserve">WMS/SCM</t>
  </si>
  <si>
    <t xml:space="preserve">ERP или Отраслевая система</t>
  </si>
  <si>
    <t xml:space="preserve">HRM</t>
  </si>
  <si>
    <t xml:space="preserve">CRM</t>
  </si>
  <si>
    <t xml:space="preserve">А, процесс 4: Кадры и зарплата механизаторов</t>
  </si>
  <si>
    <t xml:space="preserve">TMS или WMS/SCM</t>
  </si>
  <si>
    <t xml:space="preserve">CRM или ERP</t>
  </si>
  <si>
    <t xml:space="preserve">BI или Отраслевая система</t>
  </si>
  <si>
    <t xml:space="preserve">СЭД/ЭДО</t>
  </si>
  <si>
    <t xml:space="preserve">А, процесс 5: Продажа зерна элеваторам и трейдерам</t>
  </si>
  <si>
    <t xml:space="preserve">ERP или CRM</t>
  </si>
  <si>
    <t xml:space="preserve">ERP или WMS/SCM</t>
  </si>
  <si>
    <t xml:space="preserve">А, процесс 6: Управленческая отчётность по себестоимости полей</t>
  </si>
  <si>
    <t xml:space="preserve">BI</t>
  </si>
  <si>
    <t xml:space="preserve">K покр (1)</t>
  </si>
  <si>
    <t xml:space="preserve">0,667</t>
  </si>
  <si>
    <t xml:space="preserve">0,833</t>
  </si>
  <si>
    <t xml:space="preserve">процессов с ≥2 системами</t>
  </si>
  <si>
    <t xml:space="preserve">L тт (2)</t>
  </si>
  <si>
    <t xml:space="preserve">ΔL (2)</t>
  </si>
  <si>
    <t xml:space="preserve">n′ (2а)</t>
  </si>
  <si>
    <t xml:space="preserve">L′ тт (2а)</t>
  </si>
  <si>
    <t xml:space="preserve">ΔL′ (2а)</t>
  </si>
  <si>
    <t xml:space="preserve">Зелёная заливка — эталонный ответ. Значения рассчитаны движком практикума для каждого варианта ОКВЭД и совпадают с тем, что практикум принимает как верный ответ (допуски указаны в методических указаниях).</t>
  </si>
  <si>
    <t xml:space="preserve">ЛР2: эталонные ответы по 12 вариантам</t>
  </si>
  <si>
    <t xml:space="preserve">TCO A1 (3)</t>
  </si>
  <si>
    <t xml:space="preserve">8,02</t>
  </si>
  <si>
    <t xml:space="preserve">9,62</t>
  </si>
  <si>
    <t xml:space="preserve">10,42</t>
  </si>
  <si>
    <t xml:space="preserve">6,41</t>
  </si>
  <si>
    <t xml:space="preserve">5,61</t>
  </si>
  <si>
    <t xml:space="preserve">16,03</t>
  </si>
  <si>
    <t xml:space="preserve">4,81</t>
  </si>
  <si>
    <t xml:space="preserve">TCO A2 (3)</t>
  </si>
  <si>
    <t xml:space="preserve">6,16</t>
  </si>
  <si>
    <t xml:space="preserve">9,81</t>
  </si>
  <si>
    <t xml:space="preserve">8,88</t>
  </si>
  <si>
    <t xml:space="preserve">9,52</t>
  </si>
  <si>
    <t xml:space="preserve">4,39</t>
  </si>
  <si>
    <t xml:space="preserve">7,50</t>
  </si>
  <si>
    <t xml:space="preserve">3,38</t>
  </si>
  <si>
    <t xml:space="preserve">5,47</t>
  </si>
  <si>
    <t xml:space="preserve">21,71</t>
  </si>
  <si>
    <t xml:space="preserve">3,30</t>
  </si>
  <si>
    <t xml:space="preserve">7,08</t>
  </si>
  <si>
    <t xml:space="preserve">12,22</t>
  </si>
  <si>
    <t xml:space="preserve">TCO A3 (3)</t>
  </si>
  <si>
    <t xml:space="preserve">7,16</t>
  </si>
  <si>
    <t xml:space="preserve">8,59</t>
  </si>
  <si>
    <t xml:space="preserve">9,31</t>
  </si>
  <si>
    <t xml:space="preserve">5,73</t>
  </si>
  <si>
    <t xml:space="preserve">5,01</t>
  </si>
  <si>
    <t xml:space="preserve">22,90</t>
  </si>
  <si>
    <t xml:space="preserve">4,29</t>
  </si>
  <si>
    <t xml:space="preserve">12,01</t>
  </si>
  <si>
    <t xml:space="preserve">S A1 (4)</t>
  </si>
  <si>
    <t xml:space="preserve">4,00</t>
  </si>
  <si>
    <t xml:space="preserve">3,95</t>
  </si>
  <si>
    <t xml:space="preserve">3,85</t>
  </si>
  <si>
    <t xml:space="preserve">3,80</t>
  </si>
  <si>
    <t xml:space="preserve">3,70</t>
  </si>
  <si>
    <t xml:space="preserve">4,20</t>
  </si>
  <si>
    <t xml:space="preserve">4,05</t>
  </si>
  <si>
    <t xml:space="preserve">4,15</t>
  </si>
  <si>
    <t xml:space="preserve">S A2 (4)</t>
  </si>
  <si>
    <t xml:space="preserve">3,60</t>
  </si>
  <si>
    <t xml:space="preserve">3,65</t>
  </si>
  <si>
    <t xml:space="preserve">3,45</t>
  </si>
  <si>
    <t xml:space="preserve">3,55</t>
  </si>
  <si>
    <t xml:space="preserve">3,50</t>
  </si>
  <si>
    <t xml:space="preserve">S A3 (4)</t>
  </si>
  <si>
    <t xml:space="preserve">4,10</t>
  </si>
  <si>
    <t xml:space="preserve">3,90</t>
  </si>
  <si>
    <t xml:space="preserve">лучшая по R</t>
  </si>
  <si>
    <t xml:space="preserve">A2</t>
  </si>
  <si>
    <t xml:space="preserve">A3</t>
  </si>
  <si>
    <t xml:space="preserve">A1</t>
  </si>
  <si>
    <t xml:space="preserve">A3 (3а)</t>
  </si>
  <si>
    <t xml:space="preserve">2,283</t>
  </si>
  <si>
    <t xml:space="preserve">A7 (3а)</t>
  </si>
  <si>
    <t xml:space="preserve">4,160</t>
  </si>
  <si>
    <t xml:space="preserve">лучшая при T=3</t>
  </si>
  <si>
    <t xml:space="preserve">лучшая при T=7</t>
  </si>
  <si>
    <t xml:space="preserve">выбор устойчив</t>
  </si>
  <si>
    <t xml:space="preserve">нет</t>
  </si>
  <si>
    <t xml:space="preserve">да</t>
  </si>
  <si>
    <t xml:space="preserve">ЛР3: эталонные ответы по 12 вариантам</t>
  </si>
  <si>
    <t xml:space="preserve">Индивидуальная часть. Журнал инцидентов индивидуален. Правила: приоритет по матрице «влияние × срочность» из теории ЛР 3; запросы на обслуживание и плановые работы — не инцидент; D — сумма длительностей только полной недоступности; Aф = (43 200 − D)/43 200·100 %; кредит по формуле (6). Эталон конкретного студента — в verify.html.</t>
  </si>
  <si>
    <t xml:space="preserve">приоритет записи 2</t>
  </si>
  <si>
    <t xml:space="preserve">не инцидент</t>
  </si>
  <si>
    <t xml:space="preserve">P4</t>
  </si>
  <si>
    <t xml:space="preserve">P1</t>
  </si>
  <si>
    <t xml:space="preserve">P5</t>
  </si>
  <si>
    <t xml:space="preserve">P3</t>
  </si>
  <si>
    <t xml:space="preserve">Ш, тыс. руб. (6)</t>
  </si>
  <si>
    <t xml:space="preserve">0,00</t>
  </si>
  <si>
    <t xml:space="preserve">26,00</t>
  </si>
  <si>
    <t xml:space="preserve">20,00</t>
  </si>
  <si>
    <t xml:space="preserve">31,50</t>
  </si>
  <si>
    <t xml:space="preserve">15,00</t>
  </si>
  <si>
    <t xml:space="preserve">30,00</t>
  </si>
  <si>
    <t xml:space="preserve">24,00</t>
  </si>
  <si>
    <t xml:space="preserve">22,50</t>
  </si>
  <si>
    <t xml:space="preserve">допустимо отказов</t>
  </si>
  <si>
    <t xml:space="preserve">ЛР4: эталонные ответы по 12 вариантам</t>
  </si>
  <si>
    <t xml:space="preserve">max EMV (7)</t>
  </si>
  <si>
    <t xml:space="preserve">49,00</t>
  </si>
  <si>
    <t xml:space="preserve">37,20</t>
  </si>
  <si>
    <t xml:space="preserve">4,02</t>
  </si>
  <si>
    <t xml:space="preserve">9,30</t>
  </si>
  <si>
    <t xml:space="preserve">21,20</t>
  </si>
  <si>
    <t xml:space="preserve">20,45</t>
  </si>
  <si>
    <t xml:space="preserve">12,00</t>
  </si>
  <si>
    <t xml:space="preserve">27,50</t>
  </si>
  <si>
    <t xml:space="preserve">8,60</t>
  </si>
  <si>
    <t xml:space="preserve">13,75</t>
  </si>
  <si>
    <t xml:space="preserve">EVwPI (8)</t>
  </si>
  <si>
    <t xml:space="preserve">56,00</t>
  </si>
  <si>
    <t xml:space="preserve">17,00</t>
  </si>
  <si>
    <t xml:space="preserve">41,85</t>
  </si>
  <si>
    <t xml:space="preserve">4,51</t>
  </si>
  <si>
    <t xml:space="preserve">10,40</t>
  </si>
  <si>
    <t xml:space="preserve">28,10</t>
  </si>
  <si>
    <t xml:space="preserve">21,95</t>
  </si>
  <si>
    <t xml:space="preserve">14,00</t>
  </si>
  <si>
    <t xml:space="preserve">37,00</t>
  </si>
  <si>
    <t xml:space="preserve">9,40</t>
  </si>
  <si>
    <t xml:space="preserve">5,85</t>
  </si>
  <si>
    <t xml:space="preserve">18,55</t>
  </si>
  <si>
    <t xml:space="preserve">EVPI (9)</t>
  </si>
  <si>
    <t xml:space="preserve">7,00</t>
  </si>
  <si>
    <t xml:space="preserve">2,00</t>
  </si>
  <si>
    <t xml:space="preserve">4,65</t>
  </si>
  <si>
    <t xml:space="preserve">0,49</t>
  </si>
  <si>
    <t xml:space="preserve">1,10</t>
  </si>
  <si>
    <t xml:space="preserve">6,90</t>
  </si>
  <si>
    <t xml:space="preserve">1,50</t>
  </si>
  <si>
    <t xml:space="preserve">9,50</t>
  </si>
  <si>
    <t xml:space="preserve">0,80</t>
  </si>
  <si>
    <t xml:space="preserve">1,95</t>
  </si>
  <si>
    <t xml:space="preserve">4,80</t>
  </si>
  <si>
    <t xml:space="preserve">лучшая альтернатива</t>
  </si>
  <si>
    <t xml:space="preserve">покупать сведения</t>
  </si>
  <si>
    <t xml:space="preserve">EVSI (9а)</t>
  </si>
  <si>
    <t xml:space="preserve">3,81</t>
  </si>
  <si>
    <t xml:space="preserve">1,06</t>
  </si>
  <si>
    <t xml:space="preserve">2,31</t>
  </si>
  <si>
    <t xml:space="preserve">0,24</t>
  </si>
  <si>
    <t xml:space="preserve">0,60</t>
  </si>
  <si>
    <t xml:space="preserve">3,72</t>
  </si>
  <si>
    <t xml:space="preserve">0,71</t>
  </si>
  <si>
    <t xml:space="preserve">0,85</t>
  </si>
  <si>
    <t xml:space="preserve">4,75</t>
  </si>
  <si>
    <t xml:space="preserve">0,30</t>
  </si>
  <si>
    <t xml:space="preserve">0,99</t>
  </si>
  <si>
    <t xml:space="preserve">2,24</t>
  </si>
  <si>
    <t xml:space="preserve">покупать исследование</t>
  </si>
  <si>
    <t xml:space="preserve">Вальд</t>
  </si>
  <si>
    <t xml:space="preserve">Сэвидж</t>
  </si>
  <si>
    <t xml:space="preserve">Гурвиц</t>
  </si>
  <si>
    <t xml:space="preserve">ЛР5: эталонные ответы по 12 вариантам</t>
  </si>
  <si>
    <t xml:space="preserve">бюджет B</t>
  </si>
  <si>
    <t xml:space="preserve">5,00</t>
  </si>
  <si>
    <t xml:space="preserve">6,00</t>
  </si>
  <si>
    <t xml:space="preserve">5,10</t>
  </si>
  <si>
    <t xml:space="preserve">3,20</t>
  </si>
  <si>
    <t xml:space="preserve">10,00</t>
  </si>
  <si>
    <t xml:space="preserve">2,90</t>
  </si>
  <si>
    <t xml:space="preserve">3,40</t>
  </si>
  <si>
    <t xml:space="preserve">5,50</t>
  </si>
  <si>
    <t xml:space="preserve">оптимальный портфель</t>
  </si>
  <si>
    <t xml:space="preserve">BI-панель управленческой отчётности; Приведение обработки ПДн в соответствие со 152-ФЗ; Учёт ГСМ с датчиками уровня топлива</t>
  </si>
  <si>
    <t xml:space="preserve">Единый справочник контрагентов и номенклатуры (MDM); Приведение обработки ПДн в соответствие со 152-ФЗ; Обмен данными маркировки с ГИС МТ «Честный знак»</t>
  </si>
  <si>
    <t xml:space="preserve">BI-панель управленческой отчётности; Электронный документооборот с контрагентами; Приведение обработки ПДн в соответствие со 152-ФЗ</t>
  </si>
  <si>
    <t xml:space="preserve">Единый справочник контрагентов и номенклатуры (MDM); Приведение обработки ПДн в соответствие со 152-ФЗ; Автозаказ товаров на основе прогноза продаж</t>
  </si>
  <si>
    <t xml:space="preserve">Единый справочник контрагентов и номенклатуры (MDM); BI-панель управленческой отчётности; Приведение обработки ПДн в соответствие со 152-ФЗ</t>
  </si>
  <si>
    <t xml:space="preserve">Электронный документооборот с контрагентами; Приведение обработки ПДн в соответствие со 152-ФЗ; Система управления доходами (RMS) и channel manager</t>
  </si>
  <si>
    <t xml:space="preserve">Электронный документооборот с контрагентами; Приведение обработки ПДн в соответствие со 152-ФЗ; Корпоративная база знаний и регламент документирования</t>
  </si>
  <si>
    <t xml:space="preserve">Единый справочник контрагентов и номенклатуры (MDM); Электронный документооборот с контрагентами; Приведение обработки ПДн в соответствие со 152-ФЗ</t>
  </si>
  <si>
    <t xml:space="preserve">Электронный документооборот с контрагентами; Приведение обработки ПДн в соответствие со 152-ФЗ; Распознавание и роботизированный ввод первичных документов (OCR + RPA)</t>
  </si>
  <si>
    <t xml:space="preserve">Электронный документооборот с контрагентами; Приведение обработки ПДн в соответствие со 152-ФЗ; Предиктивная аналитика риска отчисления</t>
  </si>
  <si>
    <t xml:space="preserve">Единый справочник контрагентов и номенклатуры (MDM); Приведение обработки ПДн в соответствие со 152-ФЗ; Передача медицинских документов в ЕГИСЗ (323-ФЗ, ст. 91.1)</t>
  </si>
  <si>
    <t xml:space="preserve">V опт</t>
  </si>
  <si>
    <t xml:space="preserve">2,66</t>
  </si>
  <si>
    <t xml:space="preserve">2,06</t>
  </si>
  <si>
    <t xml:space="preserve">3,79</t>
  </si>
  <si>
    <t xml:space="preserve">3,94</t>
  </si>
  <si>
    <t xml:space="preserve">2,88</t>
  </si>
  <si>
    <t xml:space="preserve">3,18</t>
  </si>
  <si>
    <t xml:space="preserve">2,48</t>
  </si>
  <si>
    <t xml:space="preserve">1,81</t>
  </si>
  <si>
    <t xml:space="preserve">6,62</t>
  </si>
  <si>
    <t xml:space="preserve">1,66</t>
  </si>
  <si>
    <t xml:space="preserve">1,52</t>
  </si>
  <si>
    <t xml:space="preserve">портфель при 0,8B</t>
  </si>
  <si>
    <t xml:space="preserve">Единый справочник контрагентов и номенклатуры (MDM); Приведение обработки ПДн в соответствие со 152-ФЗ; Учёт ГСМ с датчиками уровня топлива</t>
  </si>
  <si>
    <t xml:space="preserve">Приведение обработки ПДн в соответствие со 152-ФЗ; Обмен данными маркировки с ГИС МТ «Честный знак»</t>
  </si>
  <si>
    <t xml:space="preserve">Электронный документооборот с контрагентами; Приведение обработки ПДн в соответствие со 152-ФЗ; Мобильный стройконтроль с фотофиксацией дефектов</t>
  </si>
  <si>
    <t xml:space="preserve">Приведение обработки ПДн в соответствие со 152-ФЗ; Система управления доходами (RMS) и channel manager</t>
  </si>
  <si>
    <t xml:space="preserve">Электронный документооборот с контрагентами; Приведение обработки ПДн в соответствие со 152-ФЗ</t>
  </si>
  <si>
    <t xml:space="preserve">Приведение обработки ПДн в соответствие со 152-ФЗ; Передача медицинских документов в ЕГИСЗ (323-ФЗ, ст. 91.1)</t>
  </si>
  <si>
    <t xml:space="preserve">ΔV</t>
  </si>
  <si>
    <t xml:space="preserve">0,38</t>
  </si>
  <si>
    <t xml:space="preserve">2,08</t>
  </si>
  <si>
    <t xml:space="preserve">0,46</t>
  </si>
  <si>
    <t xml:space="preserve">0,04</t>
  </si>
  <si>
    <t xml:space="preserve">1,40</t>
  </si>
  <si>
    <t xml:space="preserve">0,02</t>
  </si>
  <si>
    <t xml:space="preserve">1,08</t>
  </si>
  <si>
    <t xml:space="preserve">0,66</t>
  </si>
  <si>
    <t xml:space="preserve">1,70</t>
  </si>
  <si>
    <t xml:space="preserve">ЛР6: эталонные ответы по 12 вариантам</t>
  </si>
  <si>
    <t xml:space="preserve">Индивидуальная часть. Описания практик индивидуальны. Уровень процесса — по описанию из LVL (0–5); приоритет = значимость × разрыв; RACI ниже одинаков для всех вариантов; Tмин = max(max G; ⌈GΣ/2⌉). Эталон конкретного студента — в verify.html.</t>
  </si>
  <si>
    <t xml:space="preserve">RACI: Утверждение целевых уровней процессов управления ИТ</t>
  </si>
  <si>
    <t xml:space="preserve">R — Руководитель ИТ-службы; A — Директор</t>
  </si>
  <si>
    <t xml:space="preserve">RACI: Регистрация и решение инцидентов в срок по SLA</t>
  </si>
  <si>
    <t xml:space="preserve">R — Специалист сервис-деска; A — Руководитель ИТ-службы</t>
  </si>
  <si>
    <t xml:space="preserve">RACI: Утверждение правил качества данных о контрагентах</t>
  </si>
  <si>
    <t xml:space="preserve">R — Руководитель ИТ-службы; A — Владелец данных (руководитель коммерческой службы)</t>
  </si>
  <si>
    <t xml:space="preserve">RACI: Ежемесячный отчёт директору о выполнении SLA</t>
  </si>
  <si>
    <t xml:space="preserve">R — Руководитель ИТ-службы; A — Руководитель ИТ-службы</t>
  </si>
  <si>
    <t xml:space="preserve">ЛР7: эталонные ответы по 12 вариантам</t>
  </si>
  <si>
    <t xml:space="preserve">Индивидуальная часть. Выгрузка справочника индивидуальна. Дефекты: ИНН с неверной контрольной цифрой, e-mail без «@» или домена, дата после 01.10.2026, пустая ячейка, строка-повтор. Эталонные SQL-запросы: дубли — SELECT inn FROM k1c GROUP BY inn, name HAVING COUNT(*) &gt; 1; без e-mail — SELECT COUNT(*) FROM k1c WHERE mail IS NULL OR mail = ''; сверка с CRM — SELECT DISTINCT k.inn FROM k1c k LEFT JOIN crm c ON c.inn = k.inn WHERE c.inn IS NULL. Эталон конкретного студента — в verify.html.</t>
  </si>
  <si>
    <t xml:space="preserve">K у (14)</t>
  </si>
  <si>
    <t xml:space="preserve">0,917</t>
  </si>
  <si>
    <t xml:space="preserve">0,846</t>
  </si>
  <si>
    <t xml:space="preserve">SQL 2: строк без e-mail</t>
  </si>
  <si>
    <t xml:space="preserve">ЛР8: эталонные ответы по 12 вариантам</t>
  </si>
  <si>
    <t xml:space="preserve">T ц, мин (17)</t>
  </si>
  <si>
    <t xml:space="preserve">678,20</t>
  </si>
  <si>
    <t xml:space="preserve">698,25</t>
  </si>
  <si>
    <t xml:space="preserve">723,50</t>
  </si>
  <si>
    <t xml:space="preserve">723,05</t>
  </si>
  <si>
    <t xml:space="preserve">643,25</t>
  </si>
  <si>
    <t xml:space="preserve">737,50</t>
  </si>
  <si>
    <t xml:space="preserve">706,50</t>
  </si>
  <si>
    <t xml:space="preserve">707,00</t>
  </si>
  <si>
    <t xml:space="preserve">698,50</t>
  </si>
  <si>
    <t xml:space="preserve">752,00</t>
  </si>
  <si>
    <t xml:space="preserve">721,20</t>
  </si>
  <si>
    <t xml:space="preserve">616,20</t>
  </si>
  <si>
    <t xml:space="preserve">C, руб. (18)</t>
  </si>
  <si>
    <t xml:space="preserve">1 834,00</t>
  </si>
  <si>
    <t xml:space="preserve">1 500,63</t>
  </si>
  <si>
    <t xml:space="preserve">1 699,58</t>
  </si>
  <si>
    <t xml:space="preserve">1 472,33</t>
  </si>
  <si>
    <t xml:space="preserve">1 790,21</t>
  </si>
  <si>
    <t xml:space="preserve">1 756,04</t>
  </si>
  <si>
    <t xml:space="preserve">1 727,92</t>
  </si>
  <si>
    <t xml:space="preserve">1 565,67</t>
  </si>
  <si>
    <t xml:space="preserve">1 575,75</t>
  </si>
  <si>
    <t xml:space="preserve">1 730,96</t>
  </si>
  <si>
    <t xml:space="preserve">1 589,71</t>
  </si>
  <si>
    <t xml:space="preserve">1 666,83</t>
  </si>
  <si>
    <t xml:space="preserve">C мес, тыс. руб. (18)</t>
  </si>
  <si>
    <t xml:space="preserve">110,04</t>
  </si>
  <si>
    <t xml:space="preserve">450,19</t>
  </si>
  <si>
    <t xml:space="preserve">67,98</t>
  </si>
  <si>
    <t xml:space="preserve">883,40</t>
  </si>
  <si>
    <t xml:space="preserve">1 432,17</t>
  </si>
  <si>
    <t xml:space="preserve">702,42</t>
  </si>
  <si>
    <t xml:space="preserve">207,35</t>
  </si>
  <si>
    <t xml:space="preserve">78,28</t>
  </si>
  <si>
    <t xml:space="preserve">472,73</t>
  </si>
  <si>
    <t xml:space="preserve">346,19</t>
  </si>
  <si>
    <t xml:space="preserve">794,85</t>
  </si>
  <si>
    <t xml:space="preserve">1 000,10</t>
  </si>
  <si>
    <t xml:space="preserve">PCE, % (19)</t>
  </si>
  <si>
    <t xml:space="preserve">10,62</t>
  </si>
  <si>
    <t xml:space="preserve">7,59</t>
  </si>
  <si>
    <t xml:space="preserve">8,85</t>
  </si>
  <si>
    <t xml:space="preserve">7,05</t>
  </si>
  <si>
    <t xml:space="preserve">10,73</t>
  </si>
  <si>
    <t xml:space="preserve">8,41</t>
  </si>
  <si>
    <t xml:space="preserve">8,92</t>
  </si>
  <si>
    <t xml:space="preserve">8,20</t>
  </si>
  <si>
    <t xml:space="preserve">9,16</t>
  </si>
  <si>
    <t xml:space="preserve">8,18</t>
  </si>
  <si>
    <t xml:space="preserve">9,90</t>
  </si>
  <si>
    <t xml:space="preserve">шаг 1 TO-BE</t>
  </si>
  <si>
    <t xml:space="preserve">Автоматизировать</t>
  </si>
  <si>
    <t xml:space="preserve">шаг 2 TO-BE</t>
  </si>
  <si>
    <t xml:space="preserve">Исключить</t>
  </si>
  <si>
    <t xml:space="preserve">шаг 3 TO-BE</t>
  </si>
  <si>
    <t xml:space="preserve">шаг 4 TO-BE</t>
  </si>
  <si>
    <t xml:space="preserve">шаг 5 TO-BE</t>
  </si>
  <si>
    <t xml:space="preserve">шаг 6 TO-BE</t>
  </si>
  <si>
    <t xml:space="preserve">шаг 7 TO-BE</t>
  </si>
  <si>
    <t xml:space="preserve">Оставить</t>
  </si>
  <si>
    <t xml:space="preserve">шаг 8 TO-BE</t>
  </si>
  <si>
    <t xml:space="preserve">T′ ц, мин</t>
  </si>
  <si>
    <t xml:space="preserve">83,49</t>
  </si>
  <si>
    <t xml:space="preserve">62,65</t>
  </si>
  <si>
    <t xml:space="preserve">74,48</t>
  </si>
  <si>
    <t xml:space="preserve">61,05</t>
  </si>
  <si>
    <t xml:space="preserve">80,29</t>
  </si>
  <si>
    <t xml:space="preserve">74,10</t>
  </si>
  <si>
    <t xml:space="preserve">74,72</t>
  </si>
  <si>
    <t xml:space="preserve">68,46</t>
  </si>
  <si>
    <t xml:space="preserve">74,04</t>
  </si>
  <si>
    <t xml:space="preserve">80,66</t>
  </si>
  <si>
    <t xml:space="preserve">69,28</t>
  </si>
  <si>
    <t xml:space="preserve">71,89</t>
  </si>
  <si>
    <t xml:space="preserve">C′ мес, тыс. руб.</t>
  </si>
  <si>
    <t xml:space="preserve">61,36</t>
  </si>
  <si>
    <t xml:space="preserve">229,64</t>
  </si>
  <si>
    <t xml:space="preserve">36,49</t>
  </si>
  <si>
    <t xml:space="preserve">447,00</t>
  </si>
  <si>
    <t xml:space="preserve">786,62</t>
  </si>
  <si>
    <t xml:space="preserve">361,69</t>
  </si>
  <si>
    <t xml:space="preserve">109,61</t>
  </si>
  <si>
    <t xml:space="preserve">272,06</t>
  </si>
  <si>
    <t xml:space="preserve">197,69</t>
  </si>
  <si>
    <t xml:space="preserve">423,91</t>
  </si>
  <si>
    <t xml:space="preserve">527,57</t>
  </si>
  <si>
    <t xml:space="preserve">Э, тыс. руб./год</t>
  </si>
  <si>
    <t xml:space="preserve">584,21</t>
  </si>
  <si>
    <t xml:space="preserve">2 646,54</t>
  </si>
  <si>
    <t xml:space="preserve">377,97</t>
  </si>
  <si>
    <t xml:space="preserve">5 236,80</t>
  </si>
  <si>
    <t xml:space="preserve">7 746,56</t>
  </si>
  <si>
    <t xml:space="preserve">4 088,72</t>
  </si>
  <si>
    <t xml:space="preserve">1 172,83</t>
  </si>
  <si>
    <t xml:space="preserve">437,23</t>
  </si>
  <si>
    <t xml:space="preserve">2 407,95</t>
  </si>
  <si>
    <t xml:space="preserve">1 782,08</t>
  </si>
  <si>
    <t xml:space="preserve">4 451,30</t>
  </si>
  <si>
    <t xml:space="preserve">5 670,42</t>
  </si>
  <si>
    <t xml:space="preserve">Заявка из веб-формы автоматически создаётся в 1С:ERP АПК, бе…</t>
  </si>
  <si>
    <t xml:space="preserve">Must, шаг 2</t>
  </si>
  <si>
    <t xml:space="preserve">Счета хранятся в электронном архиве не менее пяти лет…</t>
  </si>
  <si>
    <t xml:space="preserve">Must, шаг 6</t>
  </si>
  <si>
    <t xml:space="preserve">При приёме заявки система сама проверяет ресурсы и сроки исп…</t>
  </si>
  <si>
    <t xml:space="preserve">Should, шаг 3</t>
  </si>
  <si>
    <t xml:space="preserve">Выписка банка загружается автоматически и сопоставляется со …</t>
  </si>
  <si>
    <t xml:space="preserve">Should, шаг 8</t>
  </si>
  <si>
    <t xml:space="preserve">Статус заявки подсвечивается цветом в общем списке…</t>
  </si>
  <si>
    <t xml:space="preserve">Could, шаг 7</t>
  </si>
  <si>
    <t xml:space="preserve">Электронное согласование заявки руководителем по маршруту из…</t>
  </si>
  <si>
    <t xml:space="preserve">Won't, шаг 4</t>
  </si>
  <si>
    <t xml:space="preserve">ЛР9: эталонные ответы по 12 вариантам</t>
  </si>
  <si>
    <t xml:space="preserve">Индивидуальная часть. Скорость команды и показатели EVM индивидуальны. Правила: v̄ — среднее трёх спринтов; в спринт берут истории по приоритету, пока хватает v̄, неподходящую пропускают; Tпрогн = SPc·5/(SPc − R5); CPI = EV/AC, SPI = EV/PV, EAC = BAC/CPI. Выбор подхода и число каналов связи ниже — по варианту (каналы зависят от размера пополнения, оно индивидуально). Эталон конкретного студента — в verify.html.</t>
  </si>
  <si>
    <t xml:space="preserve">N спринтов</t>
  </si>
  <si>
    <t xml:space="preserve">состояние</t>
  </si>
  <si>
    <t xml:space="preserve">Отстаёт от графика и перерасходует бюджет</t>
  </si>
  <si>
    <t xml:space="preserve">Опережает график и экономит бюджет</t>
  </si>
  <si>
    <t xml:space="preserve">подход</t>
  </si>
  <si>
    <t xml:space="preserve">Гибридный подход</t>
  </si>
  <si>
    <t xml:space="preserve">Водопад (каскад)</t>
  </si>
  <si>
    <t xml:space="preserve">Гибкий подход (Scrum)</t>
  </si>
  <si>
    <t xml:space="preserve">ЛР10: эталонные ответы по 12 вариантам</t>
  </si>
  <si>
    <t xml:space="preserve">Индивидуальная часть. Ряд выручки за 12 месяцев индивидуален. Тренд строят по месяцам 1–9 (n = 9, Σt = 45, Σt² = 285), MAPE считают по месяцам 10–12; прогноз на месяц 13 даёт метод с меньшей MAPE. Подбор KPI, типы диаграмм и выбор BI-платформы ниже — по варианту. Эталон конкретного студента — в verify.html.</t>
  </si>
  <si>
    <t xml:space="preserve">Рост продаж: выручка должна расти не медленнее рынка</t>
  </si>
  <si>
    <t xml:space="preserve">Выручка по месяцам, млн руб.</t>
  </si>
  <si>
    <t xml:space="preserve">Удержание клиентов: больше покупок от тех, кто уже покупал</t>
  </si>
  <si>
    <t xml:space="preserve">Доля повторных клиентов, %</t>
  </si>
  <si>
    <t xml:space="preserve">Скорость обслуживания: заявка исполняется быстрее, чем у конкурентов</t>
  </si>
  <si>
    <t xml:space="preserve">Среднее время цикла заявки, ч</t>
  </si>
  <si>
    <t xml:space="preserve">Как менялась выручка по месяцам за год?</t>
  </si>
  <si>
    <t xml:space="preserve">Линейный график</t>
  </si>
  <si>
    <t xml:space="preserve">Какой из трёх каналов продаж принёс больше выручки за квартал?</t>
  </si>
  <si>
    <t xml:space="preserve">Столбчатая диаграмма</t>
  </si>
  <si>
    <t xml:space="preserve">Как меняется доля каналов в выручке от квартала к кварталу?</t>
  </si>
  <si>
    <t xml:space="preserve">Нормированные (100 %) столбцы</t>
  </si>
  <si>
    <t xml:space="preserve">Выполнен ли план по каждому KPI за месяц?</t>
  </si>
  <si>
    <t xml:space="preserve">Столбец с отметкой цели (bullet)</t>
  </si>
  <si>
    <t xml:space="preserve">Связано ли время исполнения заявки с оценкой клиента?</t>
  </si>
  <si>
    <t xml:space="preserve">Точечная диаграмма</t>
  </si>
  <si>
    <t xml:space="preserve">лучший метод</t>
  </si>
  <si>
    <t xml:space="preserve">скользящая средняя</t>
  </si>
  <si>
    <t xml:space="preserve">линейный тренд</t>
  </si>
  <si>
    <t xml:space="preserve">S Polymatica</t>
  </si>
  <si>
    <t xml:space="preserve">S PolyAnalyst</t>
  </si>
  <si>
    <t xml:space="preserve">3,75</t>
  </si>
  <si>
    <t xml:space="preserve">S Microsoft Power BI</t>
  </si>
  <si>
    <t xml:space="preserve">выбор BI</t>
  </si>
  <si>
    <t xml:space="preserve">PolyAnalyst</t>
  </si>
  <si>
    <t xml:space="preserve">Polymatica</t>
  </si>
  <si>
    <t xml:space="preserve">Microsoft Power BI</t>
  </si>
  <si>
    <t xml:space="preserve">ЛР11: эталонные ответы по 12 вариантам</t>
  </si>
  <si>
    <t xml:space="preserve">ИЦЗ, % (28)</t>
  </si>
  <si>
    <t xml:space="preserve">62,00</t>
  </si>
  <si>
    <t xml:space="preserve">64,00</t>
  </si>
  <si>
    <t xml:space="preserve">54,00</t>
  </si>
  <si>
    <t xml:space="preserve">43,00</t>
  </si>
  <si>
    <t xml:space="preserve">46,00</t>
  </si>
  <si>
    <t xml:space="preserve">53,00</t>
  </si>
  <si>
    <t xml:space="preserve">58,00</t>
  </si>
  <si>
    <t xml:space="preserve">39,00</t>
  </si>
  <si>
    <t xml:space="preserve">51,00</t>
  </si>
  <si>
    <t xml:space="preserve">приоритет (29)</t>
  </si>
  <si>
    <t xml:space="preserve">Бизнес-процессы</t>
  </si>
  <si>
    <t xml:space="preserve">Данные и аналитика</t>
  </si>
  <si>
    <t xml:space="preserve">Стратегия и управление цифровыми изменениями</t>
  </si>
  <si>
    <t xml:space="preserve">Цифровые компетенции персонала</t>
  </si>
  <si>
    <t xml:space="preserve">NPV: Купить коробочное решение</t>
  </si>
  <si>
    <t xml:space="preserve">2,36</t>
  </si>
  <si>
    <t xml:space="preserve">1,44</t>
  </si>
  <si>
    <t xml:space="preserve">2,94</t>
  </si>
  <si>
    <t xml:space="preserve">2,45</t>
  </si>
  <si>
    <t xml:space="preserve">1,35</t>
  </si>
  <si>
    <t xml:space="preserve">0,78</t>
  </si>
  <si>
    <t xml:space="preserve">0,76</t>
  </si>
  <si>
    <t xml:space="preserve">1,16</t>
  </si>
  <si>
    <t xml:space="preserve">0,98</t>
  </si>
  <si>
    <t xml:space="preserve">0,54</t>
  </si>
  <si>
    <t xml:space="preserve">2,55</t>
  </si>
  <si>
    <t xml:space="preserve">NPV: Арендовать (SaaS)</t>
  </si>
  <si>
    <t xml:space="preserve">1,69</t>
  </si>
  <si>
    <t xml:space="preserve">3,33</t>
  </si>
  <si>
    <t xml:space="preserve">4,07</t>
  </si>
  <si>
    <t xml:space="preserve">1,55</t>
  </si>
  <si>
    <t xml:space="preserve">1,36</t>
  </si>
  <si>
    <t xml:space="preserve">1,20</t>
  </si>
  <si>
    <t xml:space="preserve">1,24</t>
  </si>
  <si>
    <t xml:space="preserve">4,82</t>
  </si>
  <si>
    <t xml:space="preserve">0,95</t>
  </si>
  <si>
    <t xml:space="preserve">3,37</t>
  </si>
  <si>
    <t xml:space="preserve">NPV: Разработать своими силами</t>
  </si>
  <si>
    <t xml:space="preserve">2,57</t>
  </si>
  <si>
    <t xml:space="preserve">1,99</t>
  </si>
  <si>
    <t xml:space="preserve">0,47</t>
  </si>
  <si>
    <t xml:space="preserve">0,79</t>
  </si>
  <si>
    <t xml:space="preserve">1,47</t>
  </si>
  <si>
    <t xml:space="preserve">1,19</t>
  </si>
  <si>
    <t xml:space="preserve">1,07</t>
  </si>
  <si>
    <t xml:space="preserve">0,75</t>
  </si>
  <si>
    <t xml:space="preserve">1,74</t>
  </si>
  <si>
    <t xml:space="preserve">лучший вариант</t>
  </si>
  <si>
    <t xml:space="preserve">Разработать своими силами</t>
  </si>
  <si>
    <t xml:space="preserve">Арендовать (SaaS)</t>
  </si>
  <si>
    <t xml:space="preserve">Купить коробочное решение</t>
  </si>
  <si>
    <t xml:space="preserve">Э RPA, тыс. руб./год</t>
  </si>
  <si>
    <t xml:space="preserve">1 594,08</t>
  </si>
  <si>
    <t xml:space="preserve">573,60</t>
  </si>
  <si>
    <t xml:space="preserve">693,60</t>
  </si>
  <si>
    <t xml:space="preserve">2 504,16</t>
  </si>
  <si>
    <t xml:space="preserve">1 985,76</t>
  </si>
  <si>
    <t xml:space="preserve">701,28</t>
  </si>
  <si>
    <t xml:space="preserve">526,56</t>
  </si>
  <si>
    <t xml:space="preserve">1 072,80</t>
  </si>
  <si>
    <t xml:space="preserve">1 524,96</t>
  </si>
  <si>
    <t xml:space="preserve">1 338,72</t>
  </si>
  <si>
    <t xml:space="preserve">678,24</t>
  </si>
  <si>
    <t xml:space="preserve">1 325,28</t>
  </si>
  <si>
    <t xml:space="preserve">T ок, мес.</t>
  </si>
  <si>
    <t xml:space="preserve">2,63</t>
  </si>
  <si>
    <t xml:space="preserve">7,32</t>
  </si>
  <si>
    <t xml:space="preserve">6,06</t>
  </si>
  <si>
    <t xml:space="preserve">1,68</t>
  </si>
  <si>
    <t xml:space="preserve">2,12</t>
  </si>
  <si>
    <t xml:space="preserve">5,99</t>
  </si>
  <si>
    <t xml:space="preserve">7,98</t>
  </si>
  <si>
    <t xml:space="preserve">3,91</t>
  </si>
  <si>
    <t xml:space="preserve">2,75</t>
  </si>
  <si>
    <t xml:space="preserve">3,14</t>
  </si>
  <si>
    <t xml:space="preserve">6,19</t>
  </si>
  <si>
    <t xml:space="preserve">3,17</t>
  </si>
  <si>
    <t xml:space="preserve">Директор фирмы</t>
  </si>
  <si>
    <t xml:space="preserve">Удовлетворять запросы, держать в курсе ключевого</t>
  </si>
  <si>
    <t xml:space="preserve">Управлять плотно: вовлекать в решения</t>
  </si>
  <si>
    <t xml:space="preserve">Главный бухгалтер</t>
  </si>
  <si>
    <t xml:space="preserve">Наблюдать, минимум усилий</t>
  </si>
  <si>
    <t xml:space="preserve">Регулярно информировать</t>
  </si>
  <si>
    <t xml:space="preserve">Руководитель продаж</t>
  </si>
  <si>
    <t xml:space="preserve">Рядовые пользователи (операторы, менеджеры)</t>
  </si>
  <si>
    <t xml:space="preserve">ИТ-служба</t>
  </si>
  <si>
    <t xml:space="preserve">Ключевой поставщик учётной системы</t>
  </si>
  <si>
    <t xml:space="preserve">ЛР 8: расчёт AS-IS и TO-BE формулами по каждому варианту</t>
  </si>
  <si>
    <t xml:space="preserve">Жёлтые ячейки — исходные данные варианта (можно менять). Решение TO-BE: K — оставить, A — автоматизировать (t′ = 0,2·t, w′ = 0), X — исключить. Формулы (17)–(19а) практикума.</t>
  </si>
  <si>
    <t xml:space="preserve">Вариант 01.11</t>
  </si>
  <si>
    <t xml:space="preserve">p</t>
  </si>
  <si>
    <t xml:space="preserve">p′</t>
  </si>
  <si>
    <t xml:space="preserve">V</t>
  </si>
  <si>
    <t xml:space="preserve">Шаг</t>
  </si>
  <si>
    <t xml:space="preserve">Роль</t>
  </si>
  <si>
    <t xml:space="preserve">t</t>
  </si>
  <si>
    <t xml:space="preserve">w</t>
  </si>
  <si>
    <t xml:space="preserve">Ставка</t>
  </si>
  <si>
    <t xml:space="preserve">Цикл</t>
  </si>
  <si>
    <t xml:space="preserve">Ценность</t>
  </si>
  <si>
    <t xml:space="preserve">Решение</t>
  </si>
  <si>
    <t xml:space="preserve">t′</t>
  </si>
  <si>
    <t xml:space="preserve">w′</t>
  </si>
  <si>
    <t xml:space="preserve">Приём: заявка трейдера на партию зерна поступает по телефону и почте, менеджер записывает её в Excel</t>
  </si>
  <si>
    <t xml:space="preserve">Менеджер</t>
  </si>
  <si>
    <t xml:space="preserve">A</t>
  </si>
  <si>
    <t xml:space="preserve">Повторный ввод данных из Excel в 1С:ERP АПК</t>
  </si>
  <si>
    <t xml:space="preserve">Оператор</t>
  </si>
  <si>
    <t xml:space="preserve">X</t>
  </si>
  <si>
    <t xml:space="preserve">Проверка возможности исполнения: ресурсы, сроки, ограничения</t>
  </si>
  <si>
    <t xml:space="preserve">Специалист</t>
  </si>
  <si>
    <t xml:space="preserve">Согласование у руководителя: бумажная виза на каждой заявке</t>
  </si>
  <si>
    <t xml:space="preserve">Руководитель</t>
  </si>
  <si>
    <t xml:space="preserve">Выставление счёта клиенту вручную</t>
  </si>
  <si>
    <t xml:space="preserve">Бухгалтер</t>
  </si>
  <si>
    <t xml:space="preserve">Печать копии счёта и подшивка в бумажный архив</t>
  </si>
  <si>
    <t xml:space="preserve">Исполнение: взвешивание и отгрузка партии зерна</t>
  </si>
  <si>
    <t xml:space="preserve">Исполнитель</t>
  </si>
  <si>
    <t xml:space="preserve">K</t>
  </si>
  <si>
    <t xml:space="preserve">Контроль оплаты: ручная сверка банковской выписки</t>
  </si>
  <si>
    <t xml:space="preserve">Tц, мин (17)</t>
  </si>
  <si>
    <t xml:space="preserve">движок:</t>
  </si>
  <si>
    <t xml:space="preserve">C, руб. на заявку (18)</t>
  </si>
  <si>
    <t xml:space="preserve">Cмес, тыс. руб. (18)</t>
  </si>
  <si>
    <t xml:space="preserve">T′ц, мин (19а)</t>
  </si>
  <si>
    <t xml:space="preserve">C′мес, тыс. руб. (19а)</t>
  </si>
  <si>
    <t xml:space="preserve">Э, тыс. руб. в год (19а)</t>
  </si>
  <si>
    <t xml:space="preserve">Вариант 10.51</t>
  </si>
  <si>
    <t xml:space="preserve">Приём: заказ торговой сети поступает по телефону и почте, менеджер записывает её в Excel</t>
  </si>
  <si>
    <t xml:space="preserve">Повторный ввод данных из Excel в 1С:ERP Управление предприятием</t>
  </si>
  <si>
    <t xml:space="preserve">Исполнение: сборка и отгрузка заказа со склада</t>
  </si>
  <si>
    <t xml:space="preserve">Вариант 41.20</t>
  </si>
  <si>
    <t xml:space="preserve">Приём: заявка покупателя на квартиру поступает по телефону и почте, менеджер записывает её в Excel</t>
  </si>
  <si>
    <t xml:space="preserve">Повторный ввод данных из Excel в Renga (BIM)</t>
  </si>
  <si>
    <t xml:space="preserve">Исполнение: подготовка договора долевого участия</t>
  </si>
  <si>
    <t xml:space="preserve">Вариант 47.11</t>
  </si>
  <si>
    <t xml:space="preserve">Приём: заказ на доставку продуктов поступает по телефону и почте, менеджер записывает её в Excel</t>
  </si>
  <si>
    <t xml:space="preserve">Повторный ввод данных из Excel в 1С:Розница</t>
  </si>
  <si>
    <t xml:space="preserve">Исполнение: сборка и доставка заказа</t>
  </si>
  <si>
    <t xml:space="preserve">Вариант 47.91</t>
  </si>
  <si>
    <t xml:space="preserve">Приём: заказ интернет-магазина поступает по телефону и почте, менеджер записывает её в Excel</t>
  </si>
  <si>
    <t xml:space="preserve">Повторный ввод данных из Excel в CMS и личный кабинет</t>
  </si>
  <si>
    <t xml:space="preserve">Исполнение: комплектация и передача заказа в доставку</t>
  </si>
  <si>
    <t xml:space="preserve">Вариант 49.41</t>
  </si>
  <si>
    <t xml:space="preserve">Приём: заявка на перевозку груза поступает по телефону и почте, менеджер записывает её в Excel</t>
  </si>
  <si>
    <t xml:space="preserve">Повторный ввод данных из Excel в TMS собственной разработки</t>
  </si>
  <si>
    <t xml:space="preserve">Исполнение: планирование рейса и перевозка</t>
  </si>
  <si>
    <t xml:space="preserve">Вариант 55.10</t>
  </si>
  <si>
    <t xml:space="preserve">Приём: заявка на групповое бронирование поступает по телефону и почте, менеджер записывает её в Excel</t>
  </si>
  <si>
    <t xml:space="preserve">Повторный ввод данных из Excel в PMS гостиницы</t>
  </si>
  <si>
    <t xml:space="preserve">Исполнение: размещение группы и обслуживание</t>
  </si>
  <si>
    <t xml:space="preserve">Вариант 62.01</t>
  </si>
  <si>
    <t xml:space="preserve">Приём: заявка клиента на доработку ПО поступает по телефону и почте, менеджер записывает её в Excel</t>
  </si>
  <si>
    <t xml:space="preserve">Повторный ввод данных из Excel в GitLab</t>
  </si>
  <si>
    <t xml:space="preserve">Исполнение: разработка и тестирование доработки</t>
  </si>
  <si>
    <t xml:space="preserve">Вариант 64.19</t>
  </si>
  <si>
    <t xml:space="preserve">Приём: заявка малого бизнеса на кредит поступает по телефону и почте, менеджер записывает её в Excel</t>
  </si>
  <si>
    <t xml:space="preserve">Повторный ввод данных из Excel в АБС</t>
  </si>
  <si>
    <t xml:space="preserve">Исполнение: кредитный анализ и выдача</t>
  </si>
  <si>
    <t xml:space="preserve">Вариант 69.20</t>
  </si>
  <si>
    <t xml:space="preserve">Приём: заявка на бухгалтерское обслуживание поступает по телефону и почте, менеджер записывает её в Excel</t>
  </si>
  <si>
    <t xml:space="preserve">Повторный ввод данных из Excel в 1С:Бухгалтерия (облако)</t>
  </si>
  <si>
    <t xml:space="preserve">Исполнение: ведение учёта и сдача отчётности клиента</t>
  </si>
  <si>
    <t xml:space="preserve">Вариант 85.22</t>
  </si>
  <si>
    <t xml:space="preserve">Приём: заявление абитуриента поступает по телефону и почте, менеджер записывает её в Excel</t>
  </si>
  <si>
    <t xml:space="preserve">Повторный ввод данных из Excel в Система управления вузом</t>
  </si>
  <si>
    <t xml:space="preserve">Исполнение: проверка документов и зачисление</t>
  </si>
  <si>
    <t xml:space="preserve">Вариант 86.10</t>
  </si>
  <si>
    <t xml:space="preserve">Приём: запись пациента на МРТ поступает по телефону и почте, менеджер записывает её в Excel</t>
  </si>
  <si>
    <t xml:space="preserve">Повторный ввод данных из Excel в МИС</t>
  </si>
  <si>
    <t xml:space="preserve">Исполнение: проведение исследования и описание снимков</t>
  </si>
  <si>
    <t xml:space="preserve">ЛР 11: индекс цифровой зрелости, NPV вариантов и эффект RPA формулами</t>
  </si>
  <si>
    <t xml:space="preserve">Жёлтые ячейки — исходные данные варианта. Формулы (28)–(31) практикума, ставка дисконтирования 0,15.</t>
  </si>
  <si>
    <t xml:space="preserve">Измерение</t>
  </si>
  <si>
    <t xml:space="preserve">Вес w</t>
  </si>
  <si>
    <t xml:space="preserve">Оценка s</t>
  </si>
  <si>
    <t xml:space="preserve">Pr = w·(5 − s)</t>
  </si>
  <si>
    <t xml:space="preserve">Технологии и инфраструктура</t>
  </si>
  <si>
    <t xml:space="preserve">Клиентский опыт и цифровые каналы</t>
  </si>
  <si>
    <t xml:space="preserve">Приоритетное измерение (29)</t>
  </si>
  <si>
    <t xml:space="preserve">Вариант решения</t>
  </si>
  <si>
    <t xml:space="preserve">K0</t>
  </si>
  <si>
    <t xml:space="preserve">Z</t>
  </si>
  <si>
    <t xml:space="preserve">E1</t>
  </si>
  <si>
    <t xml:space="preserve">E2</t>
  </si>
  <si>
    <t xml:space="preserve">E3</t>
  </si>
  <si>
    <t xml:space="preserve">NPV (30)</t>
  </si>
  <si>
    <t xml:space="preserve">Лучший вариант</t>
  </si>
  <si>
    <t xml:space="preserve">RPA: операций в месяц N</t>
  </si>
  <si>
    <t xml:space="preserve">минут на операцию t</t>
  </si>
  <si>
    <t xml:space="preserve">ставка c, руб./ч; лицензия L, тыс. руб.; настройка K, тыс. руб.</t>
  </si>
  <si>
    <t xml:space="preserve">Э RPA, тыс. руб. в год (31)</t>
  </si>
  <si>
    <t xml:space="preserve">T ок, мес. (31)</t>
  </si>
  <si>
    <t xml:space="preserve">ЛР 10, задание В: взвешенная оценка BI-платформ по вариантам (формула 27)</t>
  </si>
  <si>
    <t xml:space="preserve">Вариант</t>
  </si>
  <si>
    <t xml:space="preserve">w1</t>
  </si>
  <si>
    <t xml:space="preserve">w2</t>
  </si>
  <si>
    <t xml:space="preserve">w3</t>
  </si>
  <si>
    <t xml:space="preserve">w4</t>
  </si>
  <si>
    <t xml:space="preserve">S Power BI</t>
  </si>
  <si>
    <t xml:space="preserve">Только реестр</t>
  </si>
  <si>
    <t xml:space="preserve">Выбор</t>
  </si>
  <si>
    <t xml:space="preserve">01.11</t>
  </si>
  <si>
    <t xml:space="preserve">10.51</t>
  </si>
  <si>
    <t xml:space="preserve">41.20</t>
  </si>
  <si>
    <t xml:space="preserve">47.11</t>
  </si>
  <si>
    <t xml:space="preserve">47.91</t>
  </si>
  <si>
    <t xml:space="preserve">49.41</t>
  </si>
  <si>
    <t xml:space="preserve">55.10</t>
  </si>
  <si>
    <t xml:space="preserve">62.01</t>
  </si>
  <si>
    <t xml:space="preserve">64.19</t>
  </si>
  <si>
    <t xml:space="preserve">69.20</t>
  </si>
  <si>
    <t xml:space="preserve">85.22</t>
  </si>
  <si>
    <t xml:space="preserve">86.10</t>
  </si>
  <si>
    <t xml:space="preserve">Оценки платформ по критериям (условные экспертные):</t>
  </si>
  <si>
    <t xml:space="preserve">Power BI</t>
  </si>
  <si>
    <t xml:space="preserve">Таблица показывает, как политика закупок меняет выбор: при требовании ПО из реестра Power BI исключается до сравнения, в остальных вариантах решает взвешенная оценка.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</si>
</sst>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1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1"/>
      <name val="Times New Roman"/>
      <family val="0"/>
      <charset val="1"/>
    </font>
    <font>
      <u val="single"/>
      <sz val="11"/>
      <color rgb="FF1F4E79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5EE"/>
        <bgColor rgb="FFE2F0D9"/>
      </patternFill>
    </fill>
    <fill>
      <patternFill patternType="solid">
        <fgColor rgb="FFE2F0D9"/>
        <bgColor rgb="FFDDE5EE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E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nfostart.ru/1c/articles/2121800/" TargetMode="External"/><Relationship Id="rId2" Type="http://schemas.openxmlformats.org/officeDocument/2006/relationships/hyperlink" Target="https://cnews.ru/link/a21422" TargetMode="External"/><Relationship Id="rId3" Type="http://schemas.openxmlformats.org/officeDocument/2006/relationships/hyperlink" Target="https://investfuture.ru/articles/obschaya-stoimost-vladeniya-tco-chto-eto-takoe-sostavnye-chasti-i-kak-rasschitat" TargetMode="External"/><Relationship Id="rId4" Type="http://schemas.openxmlformats.org/officeDocument/2006/relationships/hyperlink" Target="https://www.consultant.ru/law/podborki/zapret_1236/" TargetMode="External"/><Relationship Id="rId5" Type="http://schemas.openxmlformats.org/officeDocument/2006/relationships/hyperlink" Target="https://habr.com/ru/companies/it-guild/articles/341928/" TargetMode="External"/><Relationship Id="rId6" Type="http://schemas.openxmlformats.org/officeDocument/2006/relationships/hyperlink" Target="https://www.yhec.co.uk/glossary-term/expected-value-of-perfect-information-evpi/" TargetMode="External"/><Relationship Id="rId7" Type="http://schemas.openxmlformats.org/officeDocument/2006/relationships/hyperlink" Target="https://www.consultant.ru/document/cons_doc_LAW_61801/" TargetMode="External"/><Relationship Id="rId8" Type="http://schemas.openxmlformats.org/officeDocument/2006/relationships/hyperlink" Target="https://www.consultant.ru/law/podborki/personalnye_dannye_koap/" TargetMode="External"/><Relationship Id="rId9" Type="http://schemas.openxmlformats.org/officeDocument/2006/relationships/hyperlink" Target="https://open-exam-prep.com/study-guides/cobit-2019/performance-management/capability-levels-0-5" TargetMode="External"/><Relationship Id="rId10" Type="http://schemas.openxmlformats.org/officeDocument/2006/relationships/hyperlink" Target="https://www.isaca.org/resources/news-and-trends/industry-news/2020/effective-capability-and-maturity-assessment-using-cobit-2019" TargetMode="External"/><Relationship Id="rId11" Type="http://schemas.openxmlformats.org/officeDocument/2006/relationships/hyperlink" Target="https://ppt.ru/art/inn/inn-yuridicheskogo-litsa" TargetMode="External"/><Relationship Id="rId12" Type="http://schemas.openxmlformats.org/officeDocument/2006/relationships/hyperlink" Target="https://egrul.nalog.ru/index.html" TargetMode="External"/><Relationship Id="rId13" Type="http://schemas.openxmlformats.org/officeDocument/2006/relationships/hyperlink" Target="https://habr.com/ru/companies/rostelecom/articles/539694/" TargetMode="External"/><Relationship Id="rId14" Type="http://schemas.openxmlformats.org/officeDocument/2006/relationships/hyperlink" Target="https://habr.com/ru/articles/1004544/" TargetMode="External"/><Relationship Id="rId15" Type="http://schemas.openxmlformats.org/officeDocument/2006/relationships/hyperlink" Target="https://blog.alexewerlof.com/p/composite-slo" TargetMode="External"/><Relationship Id="rId16" Type="http://schemas.openxmlformats.org/officeDocument/2006/relationships/hyperlink" Target="https://www.yhec.co.uk/glossary-term/expected-value-of-sample-information-evsi/" TargetMode="External"/><Relationship Id="rId17" Type="http://schemas.openxmlformats.org/officeDocument/2006/relationships/hyperlink" Target="https://t-j.ru/sunk-cost-fallacy/" TargetMode="External"/><Relationship Id="rId18" Type="http://schemas.openxmlformats.org/officeDocument/2006/relationships/hyperlink" Target="https://www.isaca.org/resources/news-and-trends/industry-news/2019/defining-target-capability-levels-in-cobit-2019-a-proposal-for-refinement" TargetMode="External"/><Relationship Id="rId19" Type="http://schemas.openxmlformats.org/officeDocument/2006/relationships/hyperlink" Target="https://kontur.ru/extern/spravka/491-chto_takoe_kpp" TargetMode="External"/><Relationship Id="rId20" Type="http://schemas.openxmlformats.org/officeDocument/2006/relationships/hyperlink" Target="https://hbr.org/1990/07/reengineering-work-dont-automate-obliterate" TargetMode="External"/><Relationship Id="rId21" Type="http://schemas.openxmlformats.org/officeDocument/2006/relationships/hyperlink" Target="https://ru.wikipedia.org/wiki/&#1056;&#1077;&#1080;&#1085;&#1078;&#1080;&#1085;&#1080;&#1088;&#1080;&#1085;&#1075;_&#1073;&#1080;&#1079;&#1085;&#1077;&#1089;-&#1087;&#1088;&#1086;&#1094;&#1077;&#1089;&#1089;&#1086;&#1074;" TargetMode="External"/><Relationship Id="rId22" Type="http://schemas.openxmlformats.org/officeDocument/2006/relationships/hyperlink" Target="https://habr.com/ru/post/533216/" TargetMode="External"/><Relationship Id="rId23" Type="http://schemas.openxmlformats.org/officeDocument/2006/relationships/hyperlink" Target="https://effectiviology.com/brooks-law/" TargetMode="External"/><Relationship Id="rId24" Type="http://schemas.openxmlformats.org/officeDocument/2006/relationships/hyperlink" Target="https://t-j.ru/stat-manipulation-osi/" TargetMode="External"/><Relationship Id="rId25" Type="http://schemas.openxmlformats.org/officeDocument/2006/relationships/hyperlink" Target="https://sber.pro/publication/czifrovizacziya-i-czifrovaya-transformacziya-zadachi-i-rezultat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</row>
    <row r="4" customFormat="false" ht="48" hidden="false" customHeight="true" outlineLevel="0" collapsed="false">
      <c r="A4" s="2" t="s">
        <v>2</v>
      </c>
    </row>
    <row r="5" customFormat="false" ht="48" hidden="false" customHeight="true" outlineLevel="0" collapsed="false">
      <c r="A5" s="2" t="s">
        <v>3</v>
      </c>
    </row>
    <row r="6" customFormat="false" ht="48" hidden="false" customHeight="true" outlineLevel="0" collapsed="false">
      <c r="A6" s="2" t="s">
        <v>4</v>
      </c>
    </row>
    <row r="7" customFormat="false" ht="48" hidden="false" customHeight="true" outlineLevel="0" collapsed="false">
      <c r="A7" s="2" t="s">
        <v>5</v>
      </c>
    </row>
    <row r="8" customFormat="false" ht="48" hidden="false" customHeight="true" outlineLevel="0" collapsed="false">
      <c r="A8" s="2" t="s">
        <v>6</v>
      </c>
    </row>
    <row r="9" customFormat="false" ht="48" hidden="false" customHeight="true" outlineLevel="0" collapsed="false">
      <c r="A9" s="2" t="s">
        <v>7</v>
      </c>
    </row>
    <row r="10" customFormat="false" ht="48" hidden="false" customHeight="true" outlineLevel="0" collapsed="false">
      <c r="A10" s="2" t="s">
        <v>8</v>
      </c>
    </row>
    <row r="11" customFormat="false" ht="48" hidden="false" customHeight="true" outlineLevel="0" collapsed="false">
      <c r="A11" s="2" t="s">
        <v>9</v>
      </c>
    </row>
    <row r="12" customFormat="false" ht="48" hidden="false" customHeight="true" outlineLevel="0" collapsed="false">
      <c r="A12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11</v>
      </c>
    </row>
    <row r="3" customFormat="false" ht="15" hidden="false" customHeight="false" outlineLevel="0" collapsed="false">
      <c r="E3" s="3" t="s">
        <v>12</v>
      </c>
    </row>
    <row r="4" customFormat="false" ht="15" hidden="false" customHeight="true" outlineLevel="0" collapsed="false">
      <c r="A4" s="4" t="s">
        <v>13</v>
      </c>
      <c r="B4" s="4"/>
      <c r="C4" s="4"/>
      <c r="D4" s="4"/>
      <c r="E4" s="4"/>
    </row>
    <row r="5" customFormat="false" ht="25.35" hidden="false" customHeight="false" outlineLevel="0" collapsed="false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</row>
    <row r="6" customFormat="false" ht="15" hidden="false" customHeight="false" outlineLevel="0" collapsed="false">
      <c r="A6" s="6" t="n">
        <v>1</v>
      </c>
      <c r="B6" s="6" t="s">
        <v>19</v>
      </c>
      <c r="C6" s="7" t="n">
        <v>9</v>
      </c>
      <c r="D6" s="6" t="n">
        <v>15</v>
      </c>
      <c r="E6" s="6" t="n">
        <v>1</v>
      </c>
    </row>
    <row r="7" customFormat="false" ht="15" hidden="false" customHeight="false" outlineLevel="0" collapsed="false">
      <c r="A7" s="6" t="n">
        <v>2</v>
      </c>
      <c r="B7" s="6" t="s">
        <v>20</v>
      </c>
      <c r="C7" s="7" t="n">
        <v>9</v>
      </c>
      <c r="D7" s="6" t="n">
        <v>15</v>
      </c>
      <c r="E7" s="6" t="n">
        <v>1</v>
      </c>
    </row>
    <row r="8" customFormat="false" ht="15" hidden="false" customHeight="false" outlineLevel="0" collapsed="false">
      <c r="A8" s="6" t="n">
        <v>3</v>
      </c>
      <c r="B8" s="6" t="s">
        <v>21</v>
      </c>
      <c r="C8" s="7" t="n">
        <v>9</v>
      </c>
      <c r="D8" s="6" t="n">
        <v>15</v>
      </c>
      <c r="E8" s="6" t="n">
        <v>1</v>
      </c>
    </row>
    <row r="9" customFormat="false" ht="15" hidden="false" customHeight="false" outlineLevel="0" collapsed="false">
      <c r="A9" s="6" t="n">
        <v>4</v>
      </c>
      <c r="B9" s="6" t="s">
        <v>22</v>
      </c>
      <c r="C9" s="7" t="n">
        <v>7</v>
      </c>
      <c r="D9" s="6" t="n">
        <v>10</v>
      </c>
      <c r="E9" s="6" t="n">
        <v>1</v>
      </c>
    </row>
    <row r="10" customFormat="false" ht="15" hidden="false" customHeight="false" outlineLevel="0" collapsed="false">
      <c r="A10" s="6" t="n">
        <v>5</v>
      </c>
      <c r="B10" s="6" t="s">
        <v>23</v>
      </c>
      <c r="C10" s="7" t="n">
        <v>9</v>
      </c>
      <c r="D10" s="6" t="n">
        <v>15</v>
      </c>
      <c r="E10" s="6" t="n">
        <v>1</v>
      </c>
    </row>
    <row r="11" customFormat="false" ht="15" hidden="false" customHeight="false" outlineLevel="0" collapsed="false">
      <c r="A11" s="6" t="n">
        <v>6</v>
      </c>
      <c r="B11" s="6" t="s">
        <v>24</v>
      </c>
      <c r="C11" s="7" t="n">
        <v>8</v>
      </c>
      <c r="D11" s="6" t="n">
        <v>10</v>
      </c>
      <c r="E11" s="6" t="n">
        <v>2</v>
      </c>
    </row>
    <row r="12" customFormat="false" ht="15" hidden="false" customHeight="false" outlineLevel="0" collapsed="false">
      <c r="A12" s="6" t="n">
        <v>7</v>
      </c>
      <c r="B12" s="6" t="s">
        <v>25</v>
      </c>
      <c r="C12" s="7" t="n">
        <v>9</v>
      </c>
      <c r="D12" s="6" t="n">
        <v>10</v>
      </c>
      <c r="E12" s="6" t="n">
        <v>2</v>
      </c>
    </row>
    <row r="13" customFormat="false" ht="15" hidden="false" customHeight="false" outlineLevel="0" collapsed="false">
      <c r="A13" s="6" t="n">
        <v>8</v>
      </c>
      <c r="B13" s="6" t="s">
        <v>26</v>
      </c>
      <c r="C13" s="7" t="n">
        <v>9</v>
      </c>
      <c r="D13" s="6" t="n">
        <v>10</v>
      </c>
      <c r="E13" s="6" t="n">
        <v>2</v>
      </c>
    </row>
    <row r="14" customFormat="false" ht="15" hidden="false" customHeight="false" outlineLevel="0" collapsed="false">
      <c r="A14" s="6" t="n">
        <v>9</v>
      </c>
      <c r="B14" s="6" t="s">
        <v>27</v>
      </c>
      <c r="C14" s="7" t="n">
        <v>9</v>
      </c>
      <c r="D14" s="6" t="n">
        <v>10</v>
      </c>
      <c r="E14" s="6" t="n">
        <v>2</v>
      </c>
    </row>
    <row r="15" customFormat="false" ht="15" hidden="false" customHeight="false" outlineLevel="0" collapsed="false">
      <c r="A15" s="6" t="n">
        <v>10</v>
      </c>
      <c r="B15" s="6" t="s">
        <v>28</v>
      </c>
      <c r="C15" s="7" t="n">
        <v>8</v>
      </c>
      <c r="D15" s="6" t="n">
        <v>10</v>
      </c>
      <c r="E15" s="6" t="n">
        <v>2</v>
      </c>
    </row>
    <row r="16" customFormat="false" ht="15" hidden="false" customHeight="false" outlineLevel="0" collapsed="false">
      <c r="A16" s="6" t="n">
        <v>11</v>
      </c>
      <c r="B16" s="6" t="s">
        <v>29</v>
      </c>
      <c r="C16" s="7" t="n">
        <v>8</v>
      </c>
      <c r="D16" s="6" t="n">
        <v>10</v>
      </c>
      <c r="E16" s="6" t="n">
        <v>2</v>
      </c>
    </row>
    <row r="17" customFormat="false" ht="15" hidden="false" customHeight="false" outlineLevel="0" collapsed="false">
      <c r="A17" s="6" t="n">
        <v>12</v>
      </c>
      <c r="B17" s="6" t="s">
        <v>30</v>
      </c>
      <c r="C17" s="7" t="n">
        <v>6</v>
      </c>
      <c r="D17" s="6" t="n">
        <v>10</v>
      </c>
      <c r="E17" s="6" t="n">
        <v>2</v>
      </c>
    </row>
    <row r="18" customFormat="false" ht="15" hidden="false" customHeight="false" outlineLevel="0" collapsed="false">
      <c r="B18" s="8" t="s">
        <v>31</v>
      </c>
      <c r="C18" s="8" t="n">
        <f aca="false">SUM(C6:C17)</f>
        <v>100</v>
      </c>
    </row>
    <row r="19" customFormat="false" ht="15" hidden="false" customHeight="false" outlineLevel="0" collapsed="false">
      <c r="B19" s="6" t="s">
        <v>32</v>
      </c>
      <c r="C19" s="6" t="n">
        <f aca="false">SUMIF(E6:E17,1,C6:C17)</f>
        <v>43</v>
      </c>
    </row>
    <row r="20" customFormat="false" ht="15" hidden="false" customHeight="false" outlineLevel="0" collapsed="false">
      <c r="B20" s="6" t="s">
        <v>33</v>
      </c>
      <c r="C20" s="6" t="n">
        <f aca="false">SUMIF(E6:E17,2,C6:C17)</f>
        <v>57</v>
      </c>
    </row>
    <row r="22" customFormat="false" ht="45.75" hidden="false" customHeight="true" outlineLevel="0" collapsed="false">
      <c r="A22" s="9" t="s">
        <v>34</v>
      </c>
      <c r="B22" s="9"/>
      <c r="C22" s="9"/>
      <c r="D22" s="9"/>
      <c r="E22" s="9"/>
    </row>
  </sheetData>
  <mergeCells count="2">
    <mergeCell ref="A4:E4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2"/>
    <col collapsed="false" customWidth="true" hidden="false" outlineLevel="0" max="6" min="4" style="0" width="46"/>
    <col collapsed="false" customWidth="true" hidden="false" outlineLevel="0" max="7" min="7" style="0" width="50"/>
    <col collapsed="false" customWidth="true" hidden="false" outlineLevel="0" max="9" min="8" style="0" width="40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5" t="s">
        <v>14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</row>
    <row r="4" customFormat="false" ht="150" hidden="false" customHeight="true" outlineLevel="0" collapsed="false">
      <c r="A4" s="6" t="n">
        <v>1</v>
      </c>
      <c r="B4" s="6" t="n">
        <v>1</v>
      </c>
      <c r="C4" s="8" t="s">
        <v>44</v>
      </c>
      <c r="D4" s="6" t="s">
        <v>45</v>
      </c>
      <c r="E4" s="7" t="s">
        <v>46</v>
      </c>
      <c r="F4" s="6" t="s">
        <v>47</v>
      </c>
      <c r="G4" s="6" t="s">
        <v>48</v>
      </c>
      <c r="H4" s="10" t="s">
        <v>49</v>
      </c>
      <c r="I4" s="10" t="s">
        <v>50</v>
      </c>
    </row>
    <row r="5" customFormat="false" ht="150" hidden="false" customHeight="true" outlineLevel="0" collapsed="false">
      <c r="A5" s="6" t="n">
        <v>2</v>
      </c>
      <c r="B5" s="6" t="n">
        <v>2</v>
      </c>
      <c r="C5" s="8" t="s">
        <v>51</v>
      </c>
      <c r="D5" s="6" t="s">
        <v>52</v>
      </c>
      <c r="E5" s="7" t="s">
        <v>53</v>
      </c>
      <c r="F5" s="6" t="s">
        <v>54</v>
      </c>
      <c r="G5" s="6" t="s">
        <v>55</v>
      </c>
      <c r="H5" s="10" t="s">
        <v>56</v>
      </c>
      <c r="I5" s="6" t="s">
        <v>57</v>
      </c>
    </row>
    <row r="6" customFormat="false" ht="150" hidden="false" customHeight="true" outlineLevel="0" collapsed="false">
      <c r="A6" s="6" t="n">
        <v>3</v>
      </c>
      <c r="B6" s="6" t="n">
        <v>2</v>
      </c>
      <c r="C6" s="8" t="s">
        <v>58</v>
      </c>
      <c r="D6" s="6" t="s">
        <v>59</v>
      </c>
      <c r="E6" s="7" t="s">
        <v>60</v>
      </c>
      <c r="F6" s="6" t="s">
        <v>61</v>
      </c>
      <c r="G6" s="6" t="s">
        <v>62</v>
      </c>
      <c r="H6" s="10" t="s">
        <v>63</v>
      </c>
      <c r="I6" s="6" t="s">
        <v>57</v>
      </c>
    </row>
    <row r="7" customFormat="false" ht="150" hidden="false" customHeight="true" outlineLevel="0" collapsed="false">
      <c r="A7" s="6" t="n">
        <v>4</v>
      </c>
      <c r="B7" s="6" t="n">
        <v>3</v>
      </c>
      <c r="C7" s="8" t="s">
        <v>64</v>
      </c>
      <c r="D7" s="6" t="s">
        <v>65</v>
      </c>
      <c r="E7" s="7" t="s">
        <v>66</v>
      </c>
      <c r="F7" s="6" t="s">
        <v>67</v>
      </c>
      <c r="G7" s="6" t="s">
        <v>68</v>
      </c>
      <c r="H7" s="10" t="s">
        <v>69</v>
      </c>
      <c r="I7" s="6" t="s">
        <v>57</v>
      </c>
    </row>
    <row r="8" customFormat="false" ht="150" hidden="false" customHeight="true" outlineLevel="0" collapsed="false">
      <c r="A8" s="6" t="n">
        <v>5</v>
      </c>
      <c r="B8" s="6" t="n">
        <v>4</v>
      </c>
      <c r="C8" s="8" t="s">
        <v>70</v>
      </c>
      <c r="D8" s="6" t="s">
        <v>71</v>
      </c>
      <c r="E8" s="7" t="s">
        <v>72</v>
      </c>
      <c r="F8" s="6" t="s">
        <v>73</v>
      </c>
      <c r="G8" s="6" t="s">
        <v>74</v>
      </c>
      <c r="H8" s="10" t="s">
        <v>75</v>
      </c>
      <c r="I8" s="6" t="s">
        <v>57</v>
      </c>
    </row>
    <row r="9" customFormat="false" ht="150" hidden="false" customHeight="true" outlineLevel="0" collapsed="false">
      <c r="A9" s="6" t="n">
        <v>6</v>
      </c>
      <c r="B9" s="6" t="n">
        <v>5</v>
      </c>
      <c r="C9" s="8" t="s">
        <v>76</v>
      </c>
      <c r="D9" s="6" t="s">
        <v>77</v>
      </c>
      <c r="E9" s="7" t="s">
        <v>78</v>
      </c>
      <c r="F9" s="6" t="s">
        <v>79</v>
      </c>
      <c r="G9" s="6" t="s">
        <v>80</v>
      </c>
      <c r="H9" s="10" t="s">
        <v>81</v>
      </c>
      <c r="I9" s="10" t="s">
        <v>82</v>
      </c>
    </row>
    <row r="10" customFormat="false" ht="150" hidden="false" customHeight="true" outlineLevel="0" collapsed="false">
      <c r="A10" s="6" t="n">
        <v>7</v>
      </c>
      <c r="B10" s="6" t="n">
        <v>6</v>
      </c>
      <c r="C10" s="8" t="s">
        <v>83</v>
      </c>
      <c r="D10" s="6" t="s">
        <v>84</v>
      </c>
      <c r="E10" s="7" t="s">
        <v>85</v>
      </c>
      <c r="F10" s="6" t="s">
        <v>86</v>
      </c>
      <c r="G10" s="6" t="s">
        <v>87</v>
      </c>
      <c r="H10" s="10" t="s">
        <v>88</v>
      </c>
      <c r="I10" s="10" t="s">
        <v>89</v>
      </c>
    </row>
    <row r="11" customFormat="false" ht="150" hidden="false" customHeight="true" outlineLevel="0" collapsed="false">
      <c r="A11" s="6" t="n">
        <v>8</v>
      </c>
      <c r="B11" s="6" t="n">
        <v>7</v>
      </c>
      <c r="C11" s="8" t="s">
        <v>90</v>
      </c>
      <c r="D11" s="6" t="s">
        <v>91</v>
      </c>
      <c r="E11" s="7" t="s">
        <v>92</v>
      </c>
      <c r="F11" s="6" t="s">
        <v>93</v>
      </c>
      <c r="G11" s="6" t="s">
        <v>94</v>
      </c>
      <c r="H11" s="10" t="s">
        <v>95</v>
      </c>
      <c r="I11" s="10" t="s">
        <v>96</v>
      </c>
    </row>
    <row r="12" customFormat="false" ht="150" hidden="false" customHeight="true" outlineLevel="0" collapsed="false">
      <c r="A12" s="6" t="n">
        <v>9</v>
      </c>
      <c r="B12" s="6" t="n">
        <v>1</v>
      </c>
      <c r="C12" s="8" t="s">
        <v>97</v>
      </c>
      <c r="D12" s="6" t="s">
        <v>98</v>
      </c>
      <c r="E12" s="7" t="s">
        <v>99</v>
      </c>
      <c r="F12" s="6" t="s">
        <v>100</v>
      </c>
      <c r="G12" s="6" t="s">
        <v>101</v>
      </c>
      <c r="H12" s="10" t="s">
        <v>102</v>
      </c>
      <c r="I12" s="6" t="s">
        <v>57</v>
      </c>
    </row>
    <row r="13" customFormat="false" ht="150" hidden="false" customHeight="true" outlineLevel="0" collapsed="false">
      <c r="A13" s="6" t="n">
        <v>10</v>
      </c>
      <c r="B13" s="6" t="n">
        <v>2</v>
      </c>
      <c r="C13" s="8" t="s">
        <v>103</v>
      </c>
      <c r="D13" s="6" t="s">
        <v>104</v>
      </c>
      <c r="E13" s="7" t="s">
        <v>105</v>
      </c>
      <c r="F13" s="6" t="s">
        <v>106</v>
      </c>
      <c r="G13" s="6" t="s">
        <v>107</v>
      </c>
      <c r="H13" s="10" t="s">
        <v>108</v>
      </c>
      <c r="I13" s="6" t="s">
        <v>57</v>
      </c>
    </row>
    <row r="14" customFormat="false" ht="150" hidden="false" customHeight="true" outlineLevel="0" collapsed="false">
      <c r="A14" s="6" t="n">
        <v>11</v>
      </c>
      <c r="B14" s="6" t="n">
        <v>3</v>
      </c>
      <c r="C14" s="8" t="s">
        <v>109</v>
      </c>
      <c r="D14" s="6" t="s">
        <v>110</v>
      </c>
      <c r="E14" s="7" t="s">
        <v>111</v>
      </c>
      <c r="F14" s="6" t="s">
        <v>112</v>
      </c>
      <c r="G14" s="6" t="s">
        <v>113</v>
      </c>
      <c r="H14" s="10" t="s">
        <v>114</v>
      </c>
      <c r="I14" s="6" t="s">
        <v>57</v>
      </c>
    </row>
    <row r="15" customFormat="false" ht="150" hidden="false" customHeight="true" outlineLevel="0" collapsed="false">
      <c r="A15" s="6" t="n">
        <v>12</v>
      </c>
      <c r="B15" s="6" t="n">
        <v>4</v>
      </c>
      <c r="C15" s="8" t="s">
        <v>115</v>
      </c>
      <c r="D15" s="6" t="s">
        <v>116</v>
      </c>
      <c r="E15" s="7" t="s">
        <v>117</v>
      </c>
      <c r="F15" s="6" t="s">
        <v>118</v>
      </c>
      <c r="G15" s="6" t="s">
        <v>119</v>
      </c>
      <c r="H15" s="10" t="s">
        <v>120</v>
      </c>
      <c r="I15" s="6" t="s">
        <v>57</v>
      </c>
    </row>
    <row r="16" customFormat="false" ht="150" hidden="false" customHeight="true" outlineLevel="0" collapsed="false">
      <c r="A16" s="6" t="n">
        <v>13</v>
      </c>
      <c r="B16" s="6" t="n">
        <v>5</v>
      </c>
      <c r="C16" s="8" t="s">
        <v>121</v>
      </c>
      <c r="D16" s="6" t="s">
        <v>122</v>
      </c>
      <c r="E16" s="7" t="s">
        <v>123</v>
      </c>
      <c r="F16" s="6" t="s">
        <v>124</v>
      </c>
      <c r="G16" s="6" t="s">
        <v>125</v>
      </c>
      <c r="H16" s="10" t="s">
        <v>126</v>
      </c>
      <c r="I16" s="6" t="s">
        <v>57</v>
      </c>
    </row>
    <row r="17" customFormat="false" ht="150" hidden="false" customHeight="true" outlineLevel="0" collapsed="false">
      <c r="A17" s="6" t="n">
        <v>14</v>
      </c>
      <c r="B17" s="6" t="n">
        <v>6</v>
      </c>
      <c r="C17" s="8" t="s">
        <v>127</v>
      </c>
      <c r="D17" s="6" t="s">
        <v>128</v>
      </c>
      <c r="E17" s="7" t="s">
        <v>129</v>
      </c>
      <c r="F17" s="6" t="s">
        <v>130</v>
      </c>
      <c r="G17" s="6" t="s">
        <v>131</v>
      </c>
      <c r="H17" s="10" t="s">
        <v>132</v>
      </c>
      <c r="I17" s="6" t="s">
        <v>57</v>
      </c>
    </row>
    <row r="18" customFormat="false" ht="150" hidden="false" customHeight="true" outlineLevel="0" collapsed="false">
      <c r="A18" s="6" t="n">
        <v>15</v>
      </c>
      <c r="B18" s="6" t="n">
        <v>7</v>
      </c>
      <c r="C18" s="8" t="s">
        <v>133</v>
      </c>
      <c r="D18" s="6" t="s">
        <v>134</v>
      </c>
      <c r="E18" s="7" t="s">
        <v>135</v>
      </c>
      <c r="F18" s="6" t="s">
        <v>136</v>
      </c>
      <c r="G18" s="6" t="s">
        <v>137</v>
      </c>
      <c r="H18" s="10" t="s">
        <v>138</v>
      </c>
      <c r="I18" s="6" t="s">
        <v>57</v>
      </c>
    </row>
    <row r="19" customFormat="false" ht="150" hidden="false" customHeight="true" outlineLevel="0" collapsed="false">
      <c r="A19" s="6" t="n">
        <v>16</v>
      </c>
      <c r="B19" s="6" t="n">
        <v>8</v>
      </c>
      <c r="C19" s="8" t="s">
        <v>139</v>
      </c>
      <c r="D19" s="6" t="s">
        <v>140</v>
      </c>
      <c r="E19" s="7" t="s">
        <v>141</v>
      </c>
      <c r="F19" s="6" t="s">
        <v>142</v>
      </c>
      <c r="G19" s="6" t="s">
        <v>143</v>
      </c>
      <c r="H19" s="10" t="s">
        <v>144</v>
      </c>
      <c r="I19" s="10" t="s">
        <v>145</v>
      </c>
    </row>
    <row r="20" customFormat="false" ht="150" hidden="false" customHeight="true" outlineLevel="0" collapsed="false">
      <c r="A20" s="6" t="n">
        <v>17</v>
      </c>
      <c r="B20" s="6" t="n">
        <v>9</v>
      </c>
      <c r="C20" s="8" t="s">
        <v>146</v>
      </c>
      <c r="D20" s="6" t="s">
        <v>147</v>
      </c>
      <c r="E20" s="7" t="s">
        <v>148</v>
      </c>
      <c r="F20" s="6" t="s">
        <v>149</v>
      </c>
      <c r="G20" s="6" t="s">
        <v>150</v>
      </c>
      <c r="H20" s="10" t="s">
        <v>151</v>
      </c>
      <c r="I20" s="10" t="s">
        <v>152</v>
      </c>
    </row>
    <row r="21" customFormat="false" ht="150" hidden="false" customHeight="true" outlineLevel="0" collapsed="false">
      <c r="A21" s="6" t="n">
        <v>18</v>
      </c>
      <c r="B21" s="6" t="n">
        <v>10</v>
      </c>
      <c r="C21" s="8" t="s">
        <v>153</v>
      </c>
      <c r="D21" s="6" t="s">
        <v>154</v>
      </c>
      <c r="E21" s="7" t="s">
        <v>155</v>
      </c>
      <c r="F21" s="6" t="s">
        <v>156</v>
      </c>
      <c r="G21" s="6" t="s">
        <v>157</v>
      </c>
      <c r="H21" s="10" t="s">
        <v>158</v>
      </c>
      <c r="I21" s="6" t="s">
        <v>57</v>
      </c>
    </row>
    <row r="22" customFormat="false" ht="150" hidden="false" customHeight="true" outlineLevel="0" collapsed="false">
      <c r="A22" s="6" t="n">
        <v>19</v>
      </c>
      <c r="B22" s="6" t="n">
        <v>11</v>
      </c>
      <c r="C22" s="8" t="s">
        <v>159</v>
      </c>
      <c r="D22" s="6" t="s">
        <v>160</v>
      </c>
      <c r="E22" s="7" t="s">
        <v>161</v>
      </c>
      <c r="F22" s="6" t="s">
        <v>162</v>
      </c>
      <c r="G22" s="6" t="s">
        <v>163</v>
      </c>
      <c r="H22" s="10" t="s">
        <v>164</v>
      </c>
      <c r="I22" s="6" t="s">
        <v>57</v>
      </c>
    </row>
  </sheetData>
  <hyperlinks>
    <hyperlink ref="H4" r:id="rId1" display="Интеграционные шины — ключевой элемент качественной архитектуры (доклад, конференция Infostart, 2023)"/>
    <hyperlink ref="I4" r:id="rId2" display="Сервисная шина предприятия (ESB): определение и назначение. CNews"/>
    <hyperlink ref="H5" r:id="rId3" display="Общая стоимость владения (TCO): что это такое, составные части и как рассчитать. Инвестфьючер"/>
    <hyperlink ref="H6" r:id="rId4" display="Запрет на допуск иностранного ПО: постановление Правительства РФ от 16.11.2015 № 1236. КонсультантПлюс"/>
    <hyperlink ref="H7" r:id="rId5" display="Управление инцидентами и управление проблемами в ITIL: в чём разница. Хабр, блог IT Guild"/>
    <hyperlink ref="H8" r:id="rId6" display="Expected Value of Perfect Information (EVPI). Глоссарий York Health Economics Consortium (англ.)"/>
    <hyperlink ref="H9" r:id="rId7" display="Федеральный закон от 27.07.2006 № 152-ФЗ «О персональных данных», ст. 18.1 и 19. КонсультантПлюс"/>
    <hyperlink ref="I9" r:id="rId8" display="Ответственность за нарушения в области персональных данных, ст. 13.11 КоАП РФ (изменения 420-ФЗ). КонсультантПлюс"/>
    <hyperlink ref="H10" r:id="rId9" display="COBIT 2019: Capability Levels 0–5 (определения уровней по рис. 6.2 руководства, англ.)"/>
    <hyperlink ref="I10" r:id="rId10" display="Effective Capability and Maturity Assessment Using COBIT 2019. ISACA (англ.)"/>
    <hyperlink ref="H11" r:id="rId11" display="ИНН юридического лица: структура номера и как проверить организацию. ppt.ru"/>
    <hyperlink ref="I11" r:id="rId12" display="Предоставление сведений из ЕГРЮЛ/ЕГРИП в электронном виде. Сервис ФНС России"/>
    <hyperlink ref="H12" r:id="rId13" display="Тысяча и один справочник в Master Data Management Ростелекома. Хабр, блог компании «Ростелеком», 2021"/>
    <hyperlink ref="H13" r:id="rId14" display="Зависимость от вендора: что должен знать каждый ITAM-специалист. Хабр, блог компании ITSM 365, 2026"/>
    <hyperlink ref="H14" r:id="rId15" display="Ewerlöf A. Composite SLO, 2024 (англ.)"/>
    <hyperlink ref="H15" r:id="rId16" display="Expected Value of Sample Information (EVSI). Глоссарий York Health Economics Consortium (англ.)"/>
    <hyperlink ref="H16" r:id="rId17" display="Белицкая С. Что такое ошибка невозвратных затрат и как ее избежать. Т—Ж, 2025"/>
    <hyperlink ref="H17" r:id="rId18" display="Souza Neto J., Almeida R., Mira da Silva M. Defining Target Capability Levels in COBIT 2019: A Proposal for Refinement. ISACA, 2019 (англ.)"/>
    <hyperlink ref="H18" r:id="rId19" display="Что такое КПП: как узнать и где указывается. Справка Контур.Экстерна"/>
    <hyperlink ref="H19" r:id="rId20" display="Hammer M. Reengineering Work: Don't Automate, Obliterate. Harvard Business Review, 1990, July–August (англ.)"/>
    <hyperlink ref="I19" r:id="rId21" display="Реинжиниринг бизнес-процессов. Википедия"/>
    <hyperlink ref="H20" r:id="rId22" display="Николаев Б. Мифический человеко-месяц 45 лет спустя. Хабр, блог Райффайзенбанка, 2020"/>
    <hyperlink ref="I20" r:id="rId23" display="Brooks' Law: Adding Manpower to a Late Project Makes It Later. Effectiviology (англ.)"/>
    <hyperlink ref="H21" r:id="rId24" display="Смагин А. Одураченные статистикой: два самых частых способа обмана при помощи некорректных графиков. Т—Ж, 2024"/>
    <hyperlink ref="H22" r:id="rId25" display="Что такое цифровизация и цифровая трансформация в России: задачи и результаты. СберПро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165</v>
      </c>
    </row>
    <row r="3" customFormat="false" ht="15" hidden="false" customHeight="false" outlineLevel="0" collapsed="false">
      <c r="A3" s="5" t="s">
        <v>14</v>
      </c>
      <c r="B3" s="5" t="s">
        <v>166</v>
      </c>
      <c r="C3" s="5" t="s">
        <v>167</v>
      </c>
      <c r="D3" s="5" t="s">
        <v>168</v>
      </c>
    </row>
    <row r="4" customFormat="false" ht="60" hidden="false" customHeight="true" outlineLevel="0" collapsed="false">
      <c r="A4" s="6" t="n">
        <v>1</v>
      </c>
      <c r="B4" s="6" t="s">
        <v>169</v>
      </c>
      <c r="C4" s="7" t="s">
        <v>170</v>
      </c>
      <c r="D4" s="6" t="s">
        <v>171</v>
      </c>
    </row>
    <row r="5" customFormat="false" ht="60" hidden="false" customHeight="true" outlineLevel="0" collapsed="false">
      <c r="A5" s="6" t="n">
        <v>2</v>
      </c>
      <c r="B5" s="6" t="s">
        <v>172</v>
      </c>
      <c r="C5" s="7" t="s">
        <v>173</v>
      </c>
      <c r="D5" s="6" t="s">
        <v>174</v>
      </c>
    </row>
    <row r="6" customFormat="false" ht="60" hidden="false" customHeight="true" outlineLevel="0" collapsed="false">
      <c r="A6" s="6" t="n">
        <v>3</v>
      </c>
      <c r="B6" s="6" t="s">
        <v>175</v>
      </c>
      <c r="C6" s="7" t="s">
        <v>176</v>
      </c>
      <c r="D6" s="6" t="s">
        <v>177</v>
      </c>
    </row>
    <row r="7" customFormat="false" ht="60" hidden="false" customHeight="true" outlineLevel="0" collapsed="false">
      <c r="A7" s="6" t="n">
        <v>4</v>
      </c>
      <c r="B7" s="6" t="s">
        <v>178</v>
      </c>
      <c r="C7" s="7" t="s">
        <v>179</v>
      </c>
      <c r="D7" s="6" t="s">
        <v>180</v>
      </c>
    </row>
    <row r="8" customFormat="false" ht="60" hidden="false" customHeight="true" outlineLevel="0" collapsed="false">
      <c r="A8" s="6" t="n">
        <v>5</v>
      </c>
      <c r="B8" s="6" t="s">
        <v>181</v>
      </c>
      <c r="C8" s="7" t="s">
        <v>182</v>
      </c>
      <c r="D8" s="6" t="s">
        <v>183</v>
      </c>
    </row>
    <row r="9" customFormat="false" ht="60" hidden="false" customHeight="true" outlineLevel="0" collapsed="false">
      <c r="A9" s="6" t="n">
        <v>6</v>
      </c>
      <c r="B9" s="6" t="s">
        <v>184</v>
      </c>
      <c r="C9" s="7" t="s">
        <v>185</v>
      </c>
      <c r="D9" s="6" t="s">
        <v>186</v>
      </c>
    </row>
    <row r="10" customFormat="false" ht="60" hidden="false" customHeight="true" outlineLevel="0" collapsed="false">
      <c r="A10" s="6" t="n">
        <v>7</v>
      </c>
      <c r="B10" s="6" t="s">
        <v>187</v>
      </c>
      <c r="C10" s="7" t="s">
        <v>188</v>
      </c>
      <c r="D10" s="6" t="s">
        <v>189</v>
      </c>
    </row>
    <row r="11" customFormat="false" ht="60" hidden="false" customHeight="true" outlineLevel="0" collapsed="false">
      <c r="A11" s="6" t="n">
        <v>8</v>
      </c>
      <c r="B11" s="6" t="s">
        <v>190</v>
      </c>
      <c r="C11" s="7" t="s">
        <v>191</v>
      </c>
      <c r="D11" s="6" t="s">
        <v>192</v>
      </c>
    </row>
    <row r="12" customFormat="false" ht="60" hidden="false" customHeight="true" outlineLevel="0" collapsed="false">
      <c r="A12" s="6" t="n">
        <v>9</v>
      </c>
      <c r="B12" s="6" t="s">
        <v>193</v>
      </c>
      <c r="C12" s="7" t="s">
        <v>194</v>
      </c>
      <c r="D12" s="6" t="s">
        <v>195</v>
      </c>
    </row>
    <row r="13" customFormat="false" ht="60" hidden="false" customHeight="true" outlineLevel="0" collapsed="false">
      <c r="A13" s="6" t="n">
        <v>10</v>
      </c>
      <c r="B13" s="6" t="s">
        <v>196</v>
      </c>
      <c r="C13" s="7" t="s">
        <v>197</v>
      </c>
      <c r="D13" s="6" t="s">
        <v>198</v>
      </c>
    </row>
    <row r="14" customFormat="false" ht="60" hidden="false" customHeight="true" outlineLevel="0" collapsed="false">
      <c r="A14" s="6" t="n">
        <v>11</v>
      </c>
      <c r="B14" s="6" t="s">
        <v>199</v>
      </c>
      <c r="C14" s="7" t="s">
        <v>200</v>
      </c>
      <c r="D14" s="6" t="s">
        <v>201</v>
      </c>
    </row>
    <row r="15" customFormat="false" ht="60" hidden="false" customHeight="true" outlineLevel="0" collapsed="false">
      <c r="A15" s="6" t="n">
        <v>12</v>
      </c>
      <c r="B15" s="6" t="s">
        <v>202</v>
      </c>
      <c r="C15" s="7" t="s">
        <v>203</v>
      </c>
      <c r="D15" s="6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205</v>
      </c>
    </row>
    <row r="3" customFormat="false" ht="45.75" hidden="false" customHeight="true" outlineLevel="0" collapsed="false">
      <c r="A3" s="5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213</v>
      </c>
      <c r="I3" s="5" t="s">
        <v>214</v>
      </c>
      <c r="J3" s="5" t="s">
        <v>215</v>
      </c>
      <c r="K3" s="5" t="s">
        <v>216</v>
      </c>
      <c r="L3" s="5" t="s">
        <v>217</v>
      </c>
      <c r="M3" s="5" t="s">
        <v>218</v>
      </c>
    </row>
    <row r="4" customFormat="false" ht="25.35" hidden="false" customHeight="false" outlineLevel="0" collapsed="false">
      <c r="A4" s="6" t="s">
        <v>219</v>
      </c>
      <c r="B4" s="7" t="s">
        <v>220</v>
      </c>
      <c r="C4" s="7" t="s">
        <v>220</v>
      </c>
      <c r="D4" s="7" t="s">
        <v>220</v>
      </c>
      <c r="E4" s="7" t="s">
        <v>221</v>
      </c>
      <c r="F4" s="7" t="s">
        <v>220</v>
      </c>
      <c r="G4" s="7" t="s">
        <v>222</v>
      </c>
      <c r="H4" s="7" t="s">
        <v>220</v>
      </c>
      <c r="I4" s="7" t="s">
        <v>220</v>
      </c>
      <c r="J4" s="7" t="s">
        <v>220</v>
      </c>
      <c r="K4" s="7" t="s">
        <v>221</v>
      </c>
      <c r="L4" s="7" t="s">
        <v>220</v>
      </c>
      <c r="M4" s="7" t="s">
        <v>223</v>
      </c>
    </row>
    <row r="5" customFormat="false" ht="25.35" hidden="false" customHeight="false" outlineLevel="0" collapsed="false">
      <c r="A5" s="6" t="s">
        <v>224</v>
      </c>
      <c r="B5" s="7" t="s">
        <v>220</v>
      </c>
      <c r="C5" s="7" t="s">
        <v>225</v>
      </c>
      <c r="D5" s="7" t="s">
        <v>220</v>
      </c>
      <c r="E5" s="7" t="s">
        <v>226</v>
      </c>
      <c r="F5" s="7" t="s">
        <v>227</v>
      </c>
      <c r="G5" s="7" t="s">
        <v>220</v>
      </c>
      <c r="H5" s="7" t="s">
        <v>223</v>
      </c>
      <c r="I5" s="7" t="s">
        <v>220</v>
      </c>
      <c r="J5" s="7" t="s">
        <v>220</v>
      </c>
      <c r="K5" s="7" t="s">
        <v>228</v>
      </c>
      <c r="L5" s="7" t="s">
        <v>220</v>
      </c>
      <c r="M5" s="7" t="s">
        <v>220</v>
      </c>
    </row>
    <row r="6" customFormat="false" ht="37.3" hidden="false" customHeight="false" outlineLevel="0" collapsed="false">
      <c r="A6" s="6" t="s">
        <v>229</v>
      </c>
      <c r="B6" s="7" t="s">
        <v>221</v>
      </c>
      <c r="C6" s="7" t="s">
        <v>221</v>
      </c>
      <c r="D6" s="7" t="s">
        <v>230</v>
      </c>
      <c r="E6" s="7" t="s">
        <v>220</v>
      </c>
      <c r="F6" s="7" t="s">
        <v>231</v>
      </c>
      <c r="G6" s="7" t="s">
        <v>232</v>
      </c>
      <c r="H6" s="7" t="s">
        <v>227</v>
      </c>
      <c r="I6" s="7" t="s">
        <v>233</v>
      </c>
      <c r="J6" s="7" t="s">
        <v>234</v>
      </c>
      <c r="K6" s="7" t="s">
        <v>220</v>
      </c>
      <c r="L6" s="7" t="s">
        <v>220</v>
      </c>
      <c r="M6" s="7" t="s">
        <v>220</v>
      </c>
    </row>
    <row r="7" customFormat="false" ht="25.35" hidden="false" customHeight="false" outlineLevel="0" collapsed="false">
      <c r="A7" s="6" t="s">
        <v>235</v>
      </c>
      <c r="B7" s="7" t="s">
        <v>228</v>
      </c>
      <c r="C7" s="7" t="s">
        <v>226</v>
      </c>
      <c r="D7" s="7" t="s">
        <v>234</v>
      </c>
      <c r="E7" s="7" t="s">
        <v>234</v>
      </c>
      <c r="F7" s="7" t="s">
        <v>236</v>
      </c>
      <c r="G7" s="7" t="s">
        <v>237</v>
      </c>
      <c r="H7" s="7" t="s">
        <v>221</v>
      </c>
      <c r="I7" s="7" t="s">
        <v>221</v>
      </c>
      <c r="J7" s="7" t="s">
        <v>238</v>
      </c>
      <c r="K7" s="7" t="s">
        <v>239</v>
      </c>
      <c r="L7" s="7" t="s">
        <v>227</v>
      </c>
      <c r="M7" s="7" t="s">
        <v>220</v>
      </c>
    </row>
    <row r="8" customFormat="false" ht="25.35" hidden="false" customHeight="false" outlineLevel="0" collapsed="false">
      <c r="A8" s="6" t="s">
        <v>240</v>
      </c>
      <c r="B8" s="7" t="s">
        <v>237</v>
      </c>
      <c r="C8" s="7" t="s">
        <v>234</v>
      </c>
      <c r="D8" s="7" t="s">
        <v>221</v>
      </c>
      <c r="E8" s="7" t="s">
        <v>233</v>
      </c>
      <c r="F8" s="7" t="s">
        <v>234</v>
      </c>
      <c r="G8" s="7" t="s">
        <v>233</v>
      </c>
      <c r="H8" s="7" t="s">
        <v>233</v>
      </c>
      <c r="I8" s="7" t="s">
        <v>220</v>
      </c>
      <c r="J8" s="7" t="s">
        <v>220</v>
      </c>
      <c r="K8" s="7" t="s">
        <v>241</v>
      </c>
      <c r="L8" s="7" t="s">
        <v>233</v>
      </c>
      <c r="M8" s="7" t="s">
        <v>242</v>
      </c>
    </row>
    <row r="9" customFormat="false" ht="25.35" hidden="false" customHeight="false" outlineLevel="0" collapsed="false">
      <c r="A9" s="6" t="s">
        <v>243</v>
      </c>
      <c r="B9" s="7" t="s">
        <v>244</v>
      </c>
      <c r="C9" s="7" t="s">
        <v>244</v>
      </c>
      <c r="D9" s="7" t="s">
        <v>233</v>
      </c>
      <c r="E9" s="7" t="s">
        <v>244</v>
      </c>
      <c r="F9" s="7" t="s">
        <v>244</v>
      </c>
      <c r="G9" s="7" t="s">
        <v>244</v>
      </c>
      <c r="H9" s="7" t="s">
        <v>238</v>
      </c>
      <c r="I9" s="7" t="s">
        <v>244</v>
      </c>
      <c r="J9" s="7" t="s">
        <v>233</v>
      </c>
      <c r="K9" s="7" t="s">
        <v>244</v>
      </c>
      <c r="L9" s="7" t="s">
        <v>244</v>
      </c>
      <c r="M9" s="7" t="s">
        <v>244</v>
      </c>
    </row>
    <row r="10" customFormat="false" ht="15" hidden="false" customHeight="false" outlineLevel="0" collapsed="false">
      <c r="A10" s="6" t="s">
        <v>245</v>
      </c>
      <c r="B10" s="7" t="s">
        <v>246</v>
      </c>
      <c r="C10" s="7" t="s">
        <v>246</v>
      </c>
      <c r="D10" s="7" t="s">
        <v>247</v>
      </c>
      <c r="E10" s="7" t="s">
        <v>247</v>
      </c>
      <c r="F10" s="7" t="s">
        <v>247</v>
      </c>
      <c r="G10" s="7" t="s">
        <v>247</v>
      </c>
      <c r="H10" s="7" t="s">
        <v>247</v>
      </c>
      <c r="I10" s="7" t="s">
        <v>247</v>
      </c>
      <c r="J10" s="7" t="s">
        <v>247</v>
      </c>
      <c r="K10" s="7" t="s">
        <v>247</v>
      </c>
      <c r="L10" s="7" t="s">
        <v>247</v>
      </c>
      <c r="M10" s="7" t="s">
        <v>246</v>
      </c>
    </row>
    <row r="11" customFormat="false" ht="15" hidden="false" customHeight="false" outlineLevel="0" collapsed="false">
      <c r="A11" s="6" t="s">
        <v>248</v>
      </c>
      <c r="B11" s="7" t="n">
        <v>1</v>
      </c>
      <c r="C11" s="7" t="n">
        <v>1</v>
      </c>
      <c r="D11" s="7" t="n">
        <v>0</v>
      </c>
      <c r="E11" s="7" t="n">
        <v>0</v>
      </c>
      <c r="F11" s="7" t="n">
        <v>2</v>
      </c>
      <c r="G11" s="7" t="n">
        <v>1</v>
      </c>
      <c r="H11" s="7" t="n">
        <v>1</v>
      </c>
      <c r="I11" s="7" t="n">
        <v>1</v>
      </c>
      <c r="J11" s="7" t="n">
        <v>2</v>
      </c>
      <c r="K11" s="7" t="n">
        <v>0</v>
      </c>
      <c r="L11" s="7" t="n">
        <v>1</v>
      </c>
      <c r="M11" s="7" t="n">
        <v>1</v>
      </c>
    </row>
    <row r="12" customFormat="false" ht="15" hidden="false" customHeight="false" outlineLevel="0" collapsed="false">
      <c r="A12" s="6" t="s">
        <v>249</v>
      </c>
      <c r="B12" s="7" t="n">
        <v>3</v>
      </c>
      <c r="C12" s="7" t="n">
        <v>3</v>
      </c>
      <c r="D12" s="7" t="n">
        <v>10</v>
      </c>
      <c r="E12" s="7" t="n">
        <v>6</v>
      </c>
      <c r="F12" s="7" t="n">
        <v>10</v>
      </c>
      <c r="G12" s="7" t="n">
        <v>6</v>
      </c>
      <c r="H12" s="7" t="n">
        <v>6</v>
      </c>
      <c r="I12" s="7" t="n">
        <v>6</v>
      </c>
      <c r="J12" s="7" t="n">
        <v>10</v>
      </c>
      <c r="K12" s="7" t="n">
        <v>3</v>
      </c>
      <c r="L12" s="7" t="n">
        <v>6</v>
      </c>
      <c r="M12" s="7" t="n">
        <v>3</v>
      </c>
    </row>
    <row r="13" customFormat="false" ht="15" hidden="false" customHeight="false" outlineLevel="0" collapsed="false">
      <c r="A13" s="6" t="s">
        <v>250</v>
      </c>
      <c r="B13" s="7" t="n">
        <v>0</v>
      </c>
      <c r="C13" s="7" t="n">
        <v>0</v>
      </c>
      <c r="D13" s="7" t="n">
        <v>5</v>
      </c>
      <c r="E13" s="7" t="n">
        <v>2</v>
      </c>
      <c r="F13" s="7" t="n">
        <v>5</v>
      </c>
      <c r="G13" s="7" t="n">
        <v>2</v>
      </c>
      <c r="H13" s="7" t="n">
        <v>2</v>
      </c>
      <c r="I13" s="7" t="n">
        <v>2</v>
      </c>
      <c r="J13" s="7" t="n">
        <v>5</v>
      </c>
      <c r="K13" s="7" t="n">
        <v>0</v>
      </c>
      <c r="L13" s="7" t="n">
        <v>2</v>
      </c>
      <c r="M13" s="7" t="n">
        <v>0</v>
      </c>
    </row>
    <row r="14" customFormat="false" ht="15" hidden="false" customHeight="false" outlineLevel="0" collapsed="false">
      <c r="A14" s="6" t="s">
        <v>251</v>
      </c>
      <c r="B14" s="7" t="n">
        <v>5</v>
      </c>
      <c r="C14" s="7" t="n">
        <v>5</v>
      </c>
      <c r="D14" s="7" t="n">
        <v>6</v>
      </c>
      <c r="E14" s="7" t="n">
        <v>5</v>
      </c>
      <c r="F14" s="7" t="n">
        <v>6</v>
      </c>
      <c r="G14" s="7" t="n">
        <v>5</v>
      </c>
      <c r="H14" s="7" t="n">
        <v>5</v>
      </c>
      <c r="I14" s="7" t="n">
        <v>5</v>
      </c>
      <c r="J14" s="7" t="n">
        <v>6</v>
      </c>
      <c r="K14" s="7" t="n">
        <v>4</v>
      </c>
      <c r="L14" s="7" t="n">
        <v>5</v>
      </c>
      <c r="M14" s="7" t="n">
        <v>5</v>
      </c>
    </row>
    <row r="15" customFormat="false" ht="15" hidden="false" customHeight="false" outlineLevel="0" collapsed="false">
      <c r="A15" s="6" t="s">
        <v>252</v>
      </c>
      <c r="B15" s="7" t="n">
        <v>10</v>
      </c>
      <c r="C15" s="7" t="n">
        <v>10</v>
      </c>
      <c r="D15" s="7" t="n">
        <v>15</v>
      </c>
      <c r="E15" s="7" t="n">
        <v>10</v>
      </c>
      <c r="F15" s="7" t="n">
        <v>15</v>
      </c>
      <c r="G15" s="7" t="n">
        <v>10</v>
      </c>
      <c r="H15" s="7" t="n">
        <v>10</v>
      </c>
      <c r="I15" s="7" t="n">
        <v>10</v>
      </c>
      <c r="J15" s="7" t="n">
        <v>15</v>
      </c>
      <c r="K15" s="7" t="n">
        <v>6</v>
      </c>
      <c r="L15" s="7" t="n">
        <v>10</v>
      </c>
      <c r="M15" s="7" t="n">
        <v>10</v>
      </c>
    </row>
    <row r="16" customFormat="false" ht="15" hidden="false" customHeight="false" outlineLevel="0" collapsed="false">
      <c r="A16" s="6" t="s">
        <v>253</v>
      </c>
      <c r="B16" s="7" t="n">
        <v>5</v>
      </c>
      <c r="C16" s="7" t="n">
        <v>5</v>
      </c>
      <c r="D16" s="7" t="n">
        <v>9</v>
      </c>
      <c r="E16" s="7" t="n">
        <v>5</v>
      </c>
      <c r="F16" s="7" t="n">
        <v>9</v>
      </c>
      <c r="G16" s="7" t="n">
        <v>5</v>
      </c>
      <c r="H16" s="7" t="n">
        <v>5</v>
      </c>
      <c r="I16" s="7" t="n">
        <v>5</v>
      </c>
      <c r="J16" s="7" t="n">
        <v>9</v>
      </c>
      <c r="K16" s="7" t="n">
        <v>2</v>
      </c>
      <c r="L16" s="7" t="n">
        <v>5</v>
      </c>
      <c r="M16" s="7" t="n">
        <v>5</v>
      </c>
    </row>
    <row r="18" customFormat="false" ht="45.75" hidden="false" customHeight="true" outlineLevel="0" collapsed="false">
      <c r="A18" s="9" t="s">
        <v>254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</sheetData>
  <mergeCells count="1">
    <mergeCell ref="A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255</v>
      </c>
    </row>
    <row r="3" customFormat="false" ht="45.75" hidden="false" customHeight="true" outlineLevel="0" collapsed="false">
      <c r="A3" s="5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213</v>
      </c>
      <c r="I3" s="5" t="s">
        <v>214</v>
      </c>
      <c r="J3" s="5" t="s">
        <v>215</v>
      </c>
      <c r="K3" s="5" t="s">
        <v>216</v>
      </c>
      <c r="L3" s="5" t="s">
        <v>217</v>
      </c>
      <c r="M3" s="5" t="s">
        <v>218</v>
      </c>
    </row>
    <row r="4" customFormat="false" ht="15" hidden="false" customHeight="false" outlineLevel="0" collapsed="false">
      <c r="A4" s="6" t="s">
        <v>256</v>
      </c>
      <c r="B4" s="7" t="s">
        <v>257</v>
      </c>
      <c r="C4" s="7" t="s">
        <v>258</v>
      </c>
      <c r="D4" s="7" t="s">
        <v>259</v>
      </c>
      <c r="E4" s="7" t="s">
        <v>257</v>
      </c>
      <c r="F4" s="7" t="s">
        <v>260</v>
      </c>
      <c r="G4" s="7" t="s">
        <v>257</v>
      </c>
      <c r="H4" s="7" t="s">
        <v>261</v>
      </c>
      <c r="I4" s="7" t="s">
        <v>260</v>
      </c>
      <c r="J4" s="7" t="s">
        <v>262</v>
      </c>
      <c r="K4" s="7" t="s">
        <v>263</v>
      </c>
      <c r="L4" s="7" t="s">
        <v>260</v>
      </c>
      <c r="M4" s="7" t="s">
        <v>258</v>
      </c>
    </row>
    <row r="5" customFormat="false" ht="15" hidden="false" customHeight="false" outlineLevel="0" collapsed="false">
      <c r="A5" s="6" t="s">
        <v>264</v>
      </c>
      <c r="B5" s="7" t="s">
        <v>265</v>
      </c>
      <c r="C5" s="7" t="s">
        <v>266</v>
      </c>
      <c r="D5" s="7" t="s">
        <v>267</v>
      </c>
      <c r="E5" s="7" t="s">
        <v>268</v>
      </c>
      <c r="F5" s="7" t="s">
        <v>269</v>
      </c>
      <c r="G5" s="7" t="s">
        <v>270</v>
      </c>
      <c r="H5" s="7" t="s">
        <v>271</v>
      </c>
      <c r="I5" s="7" t="s">
        <v>272</v>
      </c>
      <c r="J5" s="7" t="s">
        <v>273</v>
      </c>
      <c r="K5" s="7" t="s">
        <v>274</v>
      </c>
      <c r="L5" s="7" t="s">
        <v>275</v>
      </c>
      <c r="M5" s="7" t="s">
        <v>276</v>
      </c>
    </row>
    <row r="6" customFormat="false" ht="15" hidden="false" customHeight="false" outlineLevel="0" collapsed="false">
      <c r="A6" s="6" t="s">
        <v>277</v>
      </c>
      <c r="B6" s="7" t="s">
        <v>278</v>
      </c>
      <c r="C6" s="7" t="s">
        <v>279</v>
      </c>
      <c r="D6" s="7" t="s">
        <v>280</v>
      </c>
      <c r="E6" s="7" t="s">
        <v>278</v>
      </c>
      <c r="F6" s="7" t="s">
        <v>281</v>
      </c>
      <c r="G6" s="7" t="s">
        <v>278</v>
      </c>
      <c r="H6" s="7" t="s">
        <v>282</v>
      </c>
      <c r="I6" s="7" t="s">
        <v>281</v>
      </c>
      <c r="J6" s="7" t="s">
        <v>283</v>
      </c>
      <c r="K6" s="7" t="s">
        <v>284</v>
      </c>
      <c r="L6" s="7" t="s">
        <v>281</v>
      </c>
      <c r="M6" s="7" t="s">
        <v>285</v>
      </c>
    </row>
    <row r="7" customFormat="false" ht="15" hidden="false" customHeight="false" outlineLevel="0" collapsed="false">
      <c r="A7" s="6" t="s">
        <v>286</v>
      </c>
      <c r="B7" s="7" t="s">
        <v>287</v>
      </c>
      <c r="C7" s="7" t="s">
        <v>288</v>
      </c>
      <c r="D7" s="7" t="s">
        <v>289</v>
      </c>
      <c r="E7" s="7" t="s">
        <v>289</v>
      </c>
      <c r="F7" s="7" t="s">
        <v>290</v>
      </c>
      <c r="G7" s="7" t="s">
        <v>289</v>
      </c>
      <c r="H7" s="7" t="s">
        <v>290</v>
      </c>
      <c r="I7" s="7" t="s">
        <v>291</v>
      </c>
      <c r="J7" s="7" t="s">
        <v>292</v>
      </c>
      <c r="K7" s="7" t="s">
        <v>288</v>
      </c>
      <c r="L7" s="7" t="s">
        <v>293</v>
      </c>
      <c r="M7" s="7" t="s">
        <v>294</v>
      </c>
    </row>
    <row r="8" customFormat="false" ht="15" hidden="false" customHeight="false" outlineLevel="0" collapsed="false">
      <c r="A8" s="6" t="s">
        <v>295</v>
      </c>
      <c r="B8" s="7" t="s">
        <v>296</v>
      </c>
      <c r="C8" s="7" t="s">
        <v>296</v>
      </c>
      <c r="D8" s="7" t="s">
        <v>291</v>
      </c>
      <c r="E8" s="7" t="s">
        <v>297</v>
      </c>
      <c r="F8" s="7" t="s">
        <v>291</v>
      </c>
      <c r="G8" s="7" t="s">
        <v>297</v>
      </c>
      <c r="H8" s="7" t="s">
        <v>291</v>
      </c>
      <c r="I8" s="7" t="s">
        <v>291</v>
      </c>
      <c r="J8" s="7" t="s">
        <v>298</v>
      </c>
      <c r="K8" s="7" t="s">
        <v>296</v>
      </c>
      <c r="L8" s="7" t="s">
        <v>299</v>
      </c>
      <c r="M8" s="7" t="s">
        <v>300</v>
      </c>
    </row>
    <row r="9" customFormat="false" ht="15" hidden="false" customHeight="false" outlineLevel="0" collapsed="false">
      <c r="A9" s="6" t="s">
        <v>301</v>
      </c>
      <c r="B9" s="7" t="s">
        <v>287</v>
      </c>
      <c r="C9" s="7" t="s">
        <v>302</v>
      </c>
      <c r="D9" s="7" t="s">
        <v>303</v>
      </c>
      <c r="E9" s="7" t="s">
        <v>302</v>
      </c>
      <c r="F9" s="7" t="s">
        <v>290</v>
      </c>
      <c r="G9" s="7" t="s">
        <v>303</v>
      </c>
      <c r="H9" s="7" t="s">
        <v>287</v>
      </c>
      <c r="I9" s="7" t="s">
        <v>287</v>
      </c>
      <c r="J9" s="7" t="s">
        <v>288</v>
      </c>
      <c r="K9" s="7" t="s">
        <v>302</v>
      </c>
      <c r="L9" s="7" t="s">
        <v>302</v>
      </c>
      <c r="M9" s="7" t="s">
        <v>290</v>
      </c>
    </row>
    <row r="10" customFormat="false" ht="15" hidden="false" customHeight="false" outlineLevel="0" collapsed="false">
      <c r="A10" s="6" t="s">
        <v>304</v>
      </c>
      <c r="B10" s="7" t="s">
        <v>305</v>
      </c>
      <c r="C10" s="7" t="s">
        <v>306</v>
      </c>
      <c r="D10" s="7" t="s">
        <v>306</v>
      </c>
      <c r="E10" s="7" t="s">
        <v>306</v>
      </c>
      <c r="F10" s="7" t="s">
        <v>305</v>
      </c>
      <c r="G10" s="7" t="s">
        <v>306</v>
      </c>
      <c r="H10" s="7" t="s">
        <v>305</v>
      </c>
      <c r="I10" s="7" t="s">
        <v>306</v>
      </c>
      <c r="J10" s="7" t="s">
        <v>307</v>
      </c>
      <c r="K10" s="7" t="s">
        <v>305</v>
      </c>
      <c r="L10" s="7" t="s">
        <v>306</v>
      </c>
      <c r="M10" s="7" t="s">
        <v>307</v>
      </c>
    </row>
    <row r="11" customFormat="false" ht="15" hidden="false" customHeight="false" outlineLevel="0" collapsed="false">
      <c r="A11" s="6" t="s">
        <v>308</v>
      </c>
      <c r="B11" s="7" t="s">
        <v>309</v>
      </c>
      <c r="C11" s="7" t="s">
        <v>309</v>
      </c>
      <c r="D11" s="7" t="s">
        <v>309</v>
      </c>
      <c r="E11" s="7" t="s">
        <v>309</v>
      </c>
      <c r="F11" s="7" t="s">
        <v>309</v>
      </c>
      <c r="G11" s="7" t="s">
        <v>309</v>
      </c>
      <c r="H11" s="7" t="s">
        <v>309</v>
      </c>
      <c r="I11" s="7" t="s">
        <v>309</v>
      </c>
      <c r="J11" s="7" t="s">
        <v>309</v>
      </c>
      <c r="K11" s="7" t="s">
        <v>309</v>
      </c>
      <c r="L11" s="7" t="s">
        <v>309</v>
      </c>
      <c r="M11" s="7" t="s">
        <v>309</v>
      </c>
    </row>
    <row r="12" customFormat="false" ht="15" hidden="false" customHeight="false" outlineLevel="0" collapsed="false">
      <c r="A12" s="6" t="s">
        <v>310</v>
      </c>
      <c r="B12" s="7" t="s">
        <v>311</v>
      </c>
      <c r="C12" s="7" t="s">
        <v>311</v>
      </c>
      <c r="D12" s="7" t="s">
        <v>311</v>
      </c>
      <c r="E12" s="7" t="s">
        <v>311</v>
      </c>
      <c r="F12" s="7" t="s">
        <v>311</v>
      </c>
      <c r="G12" s="7" t="s">
        <v>311</v>
      </c>
      <c r="H12" s="7" t="s">
        <v>311</v>
      </c>
      <c r="I12" s="7" t="s">
        <v>311</v>
      </c>
      <c r="J12" s="7" t="s">
        <v>311</v>
      </c>
      <c r="K12" s="7" t="s">
        <v>311</v>
      </c>
      <c r="L12" s="7" t="s">
        <v>311</v>
      </c>
      <c r="M12" s="7" t="s">
        <v>311</v>
      </c>
    </row>
    <row r="13" customFormat="false" ht="15" hidden="false" customHeight="false" outlineLevel="0" collapsed="false">
      <c r="A13" s="6" t="s">
        <v>312</v>
      </c>
      <c r="B13" s="7" t="s">
        <v>305</v>
      </c>
      <c r="C13" s="7" t="s">
        <v>306</v>
      </c>
      <c r="D13" s="7" t="s">
        <v>305</v>
      </c>
      <c r="E13" s="7" t="s">
        <v>306</v>
      </c>
      <c r="F13" s="7" t="s">
        <v>305</v>
      </c>
      <c r="G13" s="7" t="s">
        <v>305</v>
      </c>
      <c r="H13" s="7" t="s">
        <v>305</v>
      </c>
      <c r="I13" s="7" t="s">
        <v>305</v>
      </c>
      <c r="J13" s="7" t="s">
        <v>307</v>
      </c>
      <c r="K13" s="7" t="s">
        <v>305</v>
      </c>
      <c r="L13" s="7" t="s">
        <v>306</v>
      </c>
      <c r="M13" s="7" t="s">
        <v>307</v>
      </c>
    </row>
    <row r="14" customFormat="false" ht="15" hidden="false" customHeight="false" outlineLevel="0" collapsed="false">
      <c r="A14" s="6" t="s">
        <v>313</v>
      </c>
      <c r="B14" s="7" t="s">
        <v>306</v>
      </c>
      <c r="C14" s="7" t="s">
        <v>306</v>
      </c>
      <c r="D14" s="7" t="s">
        <v>306</v>
      </c>
      <c r="E14" s="7" t="s">
        <v>306</v>
      </c>
      <c r="F14" s="7" t="s">
        <v>305</v>
      </c>
      <c r="G14" s="7" t="s">
        <v>306</v>
      </c>
      <c r="H14" s="7" t="s">
        <v>305</v>
      </c>
      <c r="I14" s="7" t="s">
        <v>306</v>
      </c>
      <c r="J14" s="7" t="s">
        <v>307</v>
      </c>
      <c r="K14" s="7" t="s">
        <v>305</v>
      </c>
      <c r="L14" s="7" t="s">
        <v>306</v>
      </c>
      <c r="M14" s="7" t="s">
        <v>307</v>
      </c>
    </row>
    <row r="15" customFormat="false" ht="15" hidden="false" customHeight="false" outlineLevel="0" collapsed="false">
      <c r="A15" s="6" t="s">
        <v>314</v>
      </c>
      <c r="B15" s="7" t="s">
        <v>315</v>
      </c>
      <c r="C15" s="7" t="s">
        <v>316</v>
      </c>
      <c r="D15" s="7" t="s">
        <v>315</v>
      </c>
      <c r="E15" s="7" t="s">
        <v>316</v>
      </c>
      <c r="F15" s="7" t="s">
        <v>316</v>
      </c>
      <c r="G15" s="7" t="s">
        <v>315</v>
      </c>
      <c r="H15" s="7" t="s">
        <v>316</v>
      </c>
      <c r="I15" s="7" t="s">
        <v>315</v>
      </c>
      <c r="J15" s="7" t="s">
        <v>316</v>
      </c>
      <c r="K15" s="7" t="s">
        <v>316</v>
      </c>
      <c r="L15" s="7" t="s">
        <v>316</v>
      </c>
      <c r="M15" s="7" t="s">
        <v>316</v>
      </c>
    </row>
    <row r="17" customFormat="false" ht="45.75" hidden="false" customHeight="true" outlineLevel="0" collapsed="false">
      <c r="A17" s="9" t="s">
        <v>254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</sheetData>
  <mergeCells count="1"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317</v>
      </c>
    </row>
    <row r="3" customFormat="false" ht="45.75" hidden="false" customHeight="true" outlineLevel="0" collapsed="false">
      <c r="A3" s="9" t="s">
        <v>318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45.75" hidden="false" customHeight="true" outlineLevel="0" collapsed="false">
      <c r="A5" s="5" t="s">
        <v>206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211</v>
      </c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 t="s">
        <v>217</v>
      </c>
      <c r="M5" s="5" t="s">
        <v>218</v>
      </c>
    </row>
    <row r="6" customFormat="false" ht="15" hidden="false" customHeight="false" outlineLevel="0" collapsed="false">
      <c r="A6" s="6" t="s">
        <v>319</v>
      </c>
      <c r="B6" s="7" t="s">
        <v>320</v>
      </c>
      <c r="C6" s="7" t="s">
        <v>321</v>
      </c>
      <c r="D6" s="7" t="s">
        <v>173</v>
      </c>
      <c r="E6" s="7" t="s">
        <v>322</v>
      </c>
      <c r="F6" s="7" t="s">
        <v>323</v>
      </c>
      <c r="G6" s="7" t="s">
        <v>173</v>
      </c>
      <c r="H6" s="7" t="s">
        <v>320</v>
      </c>
      <c r="I6" s="7" t="s">
        <v>322</v>
      </c>
      <c r="J6" s="7" t="s">
        <v>324</v>
      </c>
      <c r="K6" s="7" t="s">
        <v>322</v>
      </c>
      <c r="L6" s="7" t="s">
        <v>321</v>
      </c>
      <c r="M6" s="7" t="s">
        <v>324</v>
      </c>
    </row>
    <row r="7" customFormat="false" ht="15" hidden="false" customHeight="false" outlineLevel="0" collapsed="false">
      <c r="A7" s="6" t="s">
        <v>325</v>
      </c>
      <c r="B7" s="7" t="s">
        <v>326</v>
      </c>
      <c r="C7" s="7" t="s">
        <v>326</v>
      </c>
      <c r="D7" s="7" t="s">
        <v>327</v>
      </c>
      <c r="E7" s="7" t="s">
        <v>328</v>
      </c>
      <c r="F7" s="7" t="s">
        <v>326</v>
      </c>
      <c r="G7" s="7" t="s">
        <v>326</v>
      </c>
      <c r="H7" s="7" t="s">
        <v>329</v>
      </c>
      <c r="I7" s="7" t="s">
        <v>330</v>
      </c>
      <c r="J7" s="7" t="s">
        <v>326</v>
      </c>
      <c r="K7" s="7" t="s">
        <v>331</v>
      </c>
      <c r="L7" s="7" t="s">
        <v>332</v>
      </c>
      <c r="M7" s="7" t="s">
        <v>333</v>
      </c>
    </row>
    <row r="8" customFormat="false" ht="15" hidden="false" customHeight="false" outlineLevel="0" collapsed="false">
      <c r="A8" s="6" t="s">
        <v>334</v>
      </c>
      <c r="B8" s="7" t="n">
        <v>3</v>
      </c>
      <c r="C8" s="7" t="n">
        <v>2</v>
      </c>
      <c r="D8" s="7" t="n">
        <v>2</v>
      </c>
      <c r="E8" s="7" t="n">
        <v>1</v>
      </c>
      <c r="F8" s="7" t="n">
        <v>2</v>
      </c>
      <c r="G8" s="7" t="n">
        <v>2</v>
      </c>
      <c r="H8" s="7" t="n">
        <v>1</v>
      </c>
      <c r="I8" s="7" t="n">
        <v>2</v>
      </c>
      <c r="J8" s="7" t="n">
        <v>1</v>
      </c>
      <c r="K8" s="7" t="n">
        <v>1</v>
      </c>
      <c r="L8" s="7" t="n">
        <v>2</v>
      </c>
      <c r="M8" s="7" t="n">
        <v>1</v>
      </c>
    </row>
    <row r="10" customFormat="false" ht="45.75" hidden="false" customHeight="true" outlineLevel="0" collapsed="false">
      <c r="A10" s="9" t="s">
        <v>254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mergeCells count="2">
    <mergeCell ref="A3:M3"/>
    <mergeCell ref="A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335</v>
      </c>
    </row>
    <row r="3" customFormat="false" ht="45.75" hidden="false" customHeight="true" outlineLevel="0" collapsed="false">
      <c r="A3" s="5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213</v>
      </c>
      <c r="I3" s="5" t="s">
        <v>214</v>
      </c>
      <c r="J3" s="5" t="s">
        <v>215</v>
      </c>
      <c r="K3" s="5" t="s">
        <v>216</v>
      </c>
      <c r="L3" s="5" t="s">
        <v>217</v>
      </c>
      <c r="M3" s="5" t="s">
        <v>218</v>
      </c>
    </row>
    <row r="4" customFormat="false" ht="15" hidden="false" customHeight="false" outlineLevel="0" collapsed="false">
      <c r="A4" s="6" t="s">
        <v>336</v>
      </c>
      <c r="B4" s="7" t="s">
        <v>337</v>
      </c>
      <c r="C4" s="7" t="s">
        <v>330</v>
      </c>
      <c r="D4" s="7" t="s">
        <v>338</v>
      </c>
      <c r="E4" s="7" t="s">
        <v>339</v>
      </c>
      <c r="F4" s="7" t="s">
        <v>340</v>
      </c>
      <c r="G4" s="7" t="s">
        <v>341</v>
      </c>
      <c r="H4" s="7" t="s">
        <v>342</v>
      </c>
      <c r="I4" s="7" t="s">
        <v>343</v>
      </c>
      <c r="J4" s="7" t="s">
        <v>344</v>
      </c>
      <c r="K4" s="7" t="s">
        <v>345</v>
      </c>
      <c r="L4" s="7" t="s">
        <v>303</v>
      </c>
      <c r="M4" s="7" t="s">
        <v>346</v>
      </c>
    </row>
    <row r="5" customFormat="false" ht="15" hidden="false" customHeight="false" outlineLevel="0" collapsed="false">
      <c r="A5" s="6" t="s">
        <v>347</v>
      </c>
      <c r="B5" s="7" t="s">
        <v>348</v>
      </c>
      <c r="C5" s="7" t="s">
        <v>349</v>
      </c>
      <c r="D5" s="7" t="s">
        <v>350</v>
      </c>
      <c r="E5" s="7" t="s">
        <v>351</v>
      </c>
      <c r="F5" s="7" t="s">
        <v>352</v>
      </c>
      <c r="G5" s="7" t="s">
        <v>353</v>
      </c>
      <c r="H5" s="7" t="s">
        <v>354</v>
      </c>
      <c r="I5" s="7" t="s">
        <v>355</v>
      </c>
      <c r="J5" s="7" t="s">
        <v>356</v>
      </c>
      <c r="K5" s="7" t="s">
        <v>357</v>
      </c>
      <c r="L5" s="7" t="s">
        <v>358</v>
      </c>
      <c r="M5" s="7" t="s">
        <v>359</v>
      </c>
    </row>
    <row r="6" customFormat="false" ht="15" hidden="false" customHeight="false" outlineLevel="0" collapsed="false">
      <c r="A6" s="6" t="s">
        <v>360</v>
      </c>
      <c r="B6" s="7" t="s">
        <v>361</v>
      </c>
      <c r="C6" s="7" t="s">
        <v>362</v>
      </c>
      <c r="D6" s="7" t="s">
        <v>363</v>
      </c>
      <c r="E6" s="7" t="s">
        <v>364</v>
      </c>
      <c r="F6" s="7" t="s">
        <v>365</v>
      </c>
      <c r="G6" s="7" t="s">
        <v>366</v>
      </c>
      <c r="H6" s="7" t="s">
        <v>367</v>
      </c>
      <c r="I6" s="7" t="s">
        <v>362</v>
      </c>
      <c r="J6" s="7" t="s">
        <v>368</v>
      </c>
      <c r="K6" s="7" t="s">
        <v>369</v>
      </c>
      <c r="L6" s="7" t="s">
        <v>370</v>
      </c>
      <c r="M6" s="7" t="s">
        <v>371</v>
      </c>
    </row>
    <row r="7" customFormat="false" ht="15" hidden="false" customHeight="false" outlineLevel="0" collapsed="false">
      <c r="A7" s="6" t="s">
        <v>372</v>
      </c>
      <c r="B7" s="7" t="s">
        <v>307</v>
      </c>
      <c r="C7" s="7" t="s">
        <v>305</v>
      </c>
      <c r="D7" s="7" t="s">
        <v>305</v>
      </c>
      <c r="E7" s="7" t="s">
        <v>305</v>
      </c>
      <c r="F7" s="7" t="s">
        <v>306</v>
      </c>
      <c r="G7" s="7" t="s">
        <v>305</v>
      </c>
      <c r="H7" s="7" t="s">
        <v>307</v>
      </c>
      <c r="I7" s="7" t="s">
        <v>306</v>
      </c>
      <c r="J7" s="7" t="s">
        <v>307</v>
      </c>
      <c r="K7" s="7" t="s">
        <v>306</v>
      </c>
      <c r="L7" s="7" t="s">
        <v>305</v>
      </c>
      <c r="M7" s="7" t="s">
        <v>307</v>
      </c>
    </row>
    <row r="8" customFormat="false" ht="15" hidden="false" customHeight="false" outlineLevel="0" collapsed="false">
      <c r="A8" s="6" t="s">
        <v>373</v>
      </c>
      <c r="B8" s="7" t="s">
        <v>316</v>
      </c>
      <c r="C8" s="7" t="s">
        <v>316</v>
      </c>
      <c r="D8" s="7" t="s">
        <v>316</v>
      </c>
      <c r="E8" s="7" t="s">
        <v>316</v>
      </c>
      <c r="F8" s="7" t="s">
        <v>316</v>
      </c>
      <c r="G8" s="7" t="s">
        <v>316</v>
      </c>
      <c r="H8" s="7" t="s">
        <v>315</v>
      </c>
      <c r="I8" s="7" t="s">
        <v>316</v>
      </c>
      <c r="J8" s="7" t="s">
        <v>316</v>
      </c>
      <c r="K8" s="7" t="s">
        <v>315</v>
      </c>
      <c r="L8" s="7" t="s">
        <v>316</v>
      </c>
      <c r="M8" s="7" t="s">
        <v>316</v>
      </c>
    </row>
    <row r="9" customFormat="false" ht="15" hidden="false" customHeight="false" outlineLevel="0" collapsed="false">
      <c r="A9" s="6" t="s">
        <v>374</v>
      </c>
      <c r="B9" s="7" t="s">
        <v>375</v>
      </c>
      <c r="C9" s="7" t="s">
        <v>376</v>
      </c>
      <c r="D9" s="7" t="s">
        <v>377</v>
      </c>
      <c r="E9" s="7" t="s">
        <v>378</v>
      </c>
      <c r="F9" s="7" t="s">
        <v>379</v>
      </c>
      <c r="G9" s="7" t="s">
        <v>380</v>
      </c>
      <c r="H9" s="7" t="s">
        <v>381</v>
      </c>
      <c r="I9" s="7" t="s">
        <v>382</v>
      </c>
      <c r="J9" s="7" t="s">
        <v>383</v>
      </c>
      <c r="K9" s="7" t="s">
        <v>384</v>
      </c>
      <c r="L9" s="7" t="s">
        <v>385</v>
      </c>
      <c r="M9" s="7" t="s">
        <v>386</v>
      </c>
    </row>
    <row r="10" customFormat="false" ht="15" hidden="false" customHeight="false" outlineLevel="0" collapsed="false">
      <c r="A10" s="6" t="s">
        <v>387</v>
      </c>
      <c r="B10" s="7" t="s">
        <v>315</v>
      </c>
      <c r="C10" s="7" t="s">
        <v>315</v>
      </c>
      <c r="D10" s="7" t="s">
        <v>316</v>
      </c>
      <c r="E10" s="7" t="s">
        <v>315</v>
      </c>
      <c r="F10" s="7" t="s">
        <v>315</v>
      </c>
      <c r="G10" s="7" t="s">
        <v>316</v>
      </c>
      <c r="H10" s="7" t="s">
        <v>315</v>
      </c>
      <c r="I10" s="7" t="s">
        <v>315</v>
      </c>
      <c r="J10" s="7" t="s">
        <v>316</v>
      </c>
      <c r="K10" s="7" t="s">
        <v>315</v>
      </c>
      <c r="L10" s="7" t="s">
        <v>316</v>
      </c>
      <c r="M10" s="7" t="s">
        <v>315</v>
      </c>
    </row>
    <row r="11" customFormat="false" ht="15" hidden="false" customHeight="false" outlineLevel="0" collapsed="false">
      <c r="A11" s="6" t="s">
        <v>388</v>
      </c>
      <c r="B11" s="7" t="s">
        <v>306</v>
      </c>
      <c r="C11" s="7" t="s">
        <v>307</v>
      </c>
      <c r="D11" s="7" t="s">
        <v>306</v>
      </c>
      <c r="E11" s="7" t="s">
        <v>307</v>
      </c>
      <c r="F11" s="7" t="s">
        <v>307</v>
      </c>
      <c r="G11" s="7" t="s">
        <v>306</v>
      </c>
      <c r="H11" s="7" t="s">
        <v>305</v>
      </c>
      <c r="I11" s="7" t="s">
        <v>307</v>
      </c>
      <c r="J11" s="7" t="s">
        <v>306</v>
      </c>
      <c r="K11" s="7" t="s">
        <v>307</v>
      </c>
      <c r="L11" s="7" t="s">
        <v>306</v>
      </c>
      <c r="M11" s="7" t="s">
        <v>306</v>
      </c>
    </row>
    <row r="12" customFormat="false" ht="15" hidden="false" customHeight="false" outlineLevel="0" collapsed="false">
      <c r="A12" s="6" t="s">
        <v>389</v>
      </c>
      <c r="B12" s="7" t="s">
        <v>305</v>
      </c>
      <c r="C12" s="7" t="s">
        <v>305</v>
      </c>
      <c r="D12" s="7" t="s">
        <v>307</v>
      </c>
      <c r="E12" s="7" t="s">
        <v>305</v>
      </c>
      <c r="F12" s="7" t="s">
        <v>305</v>
      </c>
      <c r="G12" s="7" t="s">
        <v>305</v>
      </c>
      <c r="H12" s="7" t="s">
        <v>306</v>
      </c>
      <c r="I12" s="7" t="s">
        <v>305</v>
      </c>
      <c r="J12" s="7" t="s">
        <v>305</v>
      </c>
      <c r="K12" s="7" t="s">
        <v>305</v>
      </c>
      <c r="L12" s="7" t="s">
        <v>305</v>
      </c>
      <c r="M12" s="7" t="s">
        <v>307</v>
      </c>
    </row>
    <row r="13" customFormat="false" ht="15" hidden="false" customHeight="false" outlineLevel="0" collapsed="false">
      <c r="A13" s="6" t="s">
        <v>390</v>
      </c>
      <c r="B13" s="7" t="s">
        <v>306</v>
      </c>
      <c r="C13" s="7" t="s">
        <v>306</v>
      </c>
      <c r="D13" s="7" t="s">
        <v>307</v>
      </c>
      <c r="E13" s="7" t="s">
        <v>307</v>
      </c>
      <c r="F13" s="7" t="s">
        <v>306</v>
      </c>
      <c r="G13" s="7" t="s">
        <v>305</v>
      </c>
      <c r="H13" s="7" t="s">
        <v>306</v>
      </c>
      <c r="I13" s="7" t="s">
        <v>305</v>
      </c>
      <c r="J13" s="7" t="s">
        <v>306</v>
      </c>
      <c r="K13" s="7" t="s">
        <v>305</v>
      </c>
      <c r="L13" s="7" t="s">
        <v>306</v>
      </c>
      <c r="M13" s="7" t="s">
        <v>305</v>
      </c>
    </row>
    <row r="15" customFormat="false" ht="45.75" hidden="false" customHeight="true" outlineLevel="0" collapsed="false">
      <c r="A15" s="9" t="s">
        <v>254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</sheetData>
  <mergeCells count="1">
    <mergeCell ref="A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391</v>
      </c>
    </row>
    <row r="3" customFormat="false" ht="45.75" hidden="false" customHeight="true" outlineLevel="0" collapsed="false">
      <c r="A3" s="5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213</v>
      </c>
      <c r="I3" s="5" t="s">
        <v>214</v>
      </c>
      <c r="J3" s="5" t="s">
        <v>215</v>
      </c>
      <c r="K3" s="5" t="s">
        <v>216</v>
      </c>
      <c r="L3" s="5" t="s">
        <v>217</v>
      </c>
      <c r="M3" s="5" t="s">
        <v>218</v>
      </c>
    </row>
    <row r="4" customFormat="false" ht="15" hidden="false" customHeight="false" outlineLevel="0" collapsed="false">
      <c r="A4" s="6" t="s">
        <v>392</v>
      </c>
      <c r="B4" s="7" t="s">
        <v>393</v>
      </c>
      <c r="C4" s="7" t="s">
        <v>371</v>
      </c>
      <c r="D4" s="7" t="s">
        <v>394</v>
      </c>
      <c r="E4" s="7" t="s">
        <v>395</v>
      </c>
      <c r="F4" s="7" t="s">
        <v>371</v>
      </c>
      <c r="G4" s="7" t="s">
        <v>395</v>
      </c>
      <c r="H4" s="7" t="s">
        <v>291</v>
      </c>
      <c r="I4" s="7" t="s">
        <v>396</v>
      </c>
      <c r="J4" s="7" t="s">
        <v>397</v>
      </c>
      <c r="K4" s="7" t="s">
        <v>398</v>
      </c>
      <c r="L4" s="7" t="s">
        <v>399</v>
      </c>
      <c r="M4" s="7" t="s">
        <v>400</v>
      </c>
    </row>
    <row r="5" customFormat="false" ht="156.7" hidden="false" customHeight="false" outlineLevel="0" collapsed="false">
      <c r="A5" s="6" t="s">
        <v>401</v>
      </c>
      <c r="B5" s="7" t="s">
        <v>402</v>
      </c>
      <c r="C5" s="7" t="s">
        <v>403</v>
      </c>
      <c r="D5" s="7" t="s">
        <v>404</v>
      </c>
      <c r="E5" s="7" t="s">
        <v>405</v>
      </c>
      <c r="F5" s="7" t="s">
        <v>406</v>
      </c>
      <c r="G5" s="7" t="s">
        <v>404</v>
      </c>
      <c r="H5" s="7" t="s">
        <v>407</v>
      </c>
      <c r="I5" s="7" t="s">
        <v>408</v>
      </c>
      <c r="J5" s="7" t="s">
        <v>409</v>
      </c>
      <c r="K5" s="7" t="s">
        <v>410</v>
      </c>
      <c r="L5" s="7" t="s">
        <v>411</v>
      </c>
      <c r="M5" s="7" t="s">
        <v>412</v>
      </c>
    </row>
    <row r="6" customFormat="false" ht="15" hidden="false" customHeight="false" outlineLevel="0" collapsed="false">
      <c r="A6" s="6" t="s">
        <v>413</v>
      </c>
      <c r="B6" s="7" t="s">
        <v>414</v>
      </c>
      <c r="C6" s="7" t="s">
        <v>415</v>
      </c>
      <c r="D6" s="7" t="s">
        <v>416</v>
      </c>
      <c r="E6" s="7" t="s">
        <v>417</v>
      </c>
      <c r="F6" s="7" t="s">
        <v>418</v>
      </c>
      <c r="G6" s="7" t="s">
        <v>419</v>
      </c>
      <c r="H6" s="7" t="s">
        <v>420</v>
      </c>
      <c r="I6" s="7" t="s">
        <v>421</v>
      </c>
      <c r="J6" s="7" t="s">
        <v>422</v>
      </c>
      <c r="K6" s="7" t="s">
        <v>414</v>
      </c>
      <c r="L6" s="7" t="s">
        <v>423</v>
      </c>
      <c r="M6" s="7" t="s">
        <v>424</v>
      </c>
    </row>
    <row r="7" customFormat="false" ht="144.75" hidden="false" customHeight="false" outlineLevel="0" collapsed="false">
      <c r="A7" s="6" t="s">
        <v>425</v>
      </c>
      <c r="B7" s="7" t="s">
        <v>426</v>
      </c>
      <c r="C7" s="7" t="s">
        <v>427</v>
      </c>
      <c r="D7" s="7" t="s">
        <v>428</v>
      </c>
      <c r="E7" s="7" t="s">
        <v>409</v>
      </c>
      <c r="F7" s="7" t="s">
        <v>409</v>
      </c>
      <c r="G7" s="7" t="s">
        <v>409</v>
      </c>
      <c r="H7" s="7" t="s">
        <v>429</v>
      </c>
      <c r="I7" s="7" t="s">
        <v>408</v>
      </c>
      <c r="J7" s="7" t="s">
        <v>409</v>
      </c>
      <c r="K7" s="7" t="s">
        <v>430</v>
      </c>
      <c r="L7" s="7" t="s">
        <v>430</v>
      </c>
      <c r="M7" s="7" t="s">
        <v>431</v>
      </c>
    </row>
    <row r="8" customFormat="false" ht="15" hidden="false" customHeight="false" outlineLevel="0" collapsed="false">
      <c r="A8" s="6" t="s">
        <v>432</v>
      </c>
      <c r="B8" s="7" t="s">
        <v>433</v>
      </c>
      <c r="C8" s="7" t="s">
        <v>434</v>
      </c>
      <c r="D8" s="7" t="s">
        <v>435</v>
      </c>
      <c r="E8" s="7" t="s">
        <v>436</v>
      </c>
      <c r="F8" s="7" t="s">
        <v>437</v>
      </c>
      <c r="G8" s="7" t="s">
        <v>438</v>
      </c>
      <c r="H8" s="7" t="s">
        <v>364</v>
      </c>
      <c r="I8" s="7" t="s">
        <v>326</v>
      </c>
      <c r="J8" s="7" t="s">
        <v>326</v>
      </c>
      <c r="K8" s="7" t="s">
        <v>439</v>
      </c>
      <c r="L8" s="7" t="s">
        <v>440</v>
      </c>
      <c r="M8" s="7" t="s">
        <v>441</v>
      </c>
    </row>
    <row r="10" customFormat="false" ht="45.75" hidden="false" customHeight="true" outlineLevel="0" collapsed="false">
      <c r="A10" s="9" t="s">
        <v>254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mergeCells count="1">
    <mergeCell ref="A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442</v>
      </c>
    </row>
    <row r="3" customFormat="false" ht="45.75" hidden="false" customHeight="true" outlineLevel="0" collapsed="false">
      <c r="A3" s="9" t="s">
        <v>443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45.75" hidden="false" customHeight="true" outlineLevel="0" collapsed="false">
      <c r="A5" s="5" t="s">
        <v>206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211</v>
      </c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 t="s">
        <v>217</v>
      </c>
      <c r="M5" s="5" t="s">
        <v>218</v>
      </c>
    </row>
    <row r="6" customFormat="false" ht="37.3" hidden="false" customHeight="false" outlineLevel="0" collapsed="false">
      <c r="A6" s="6" t="s">
        <v>444</v>
      </c>
      <c r="B6" s="7" t="s">
        <v>445</v>
      </c>
      <c r="C6" s="7" t="s">
        <v>445</v>
      </c>
      <c r="D6" s="7" t="s">
        <v>445</v>
      </c>
      <c r="E6" s="7" t="s">
        <v>445</v>
      </c>
      <c r="F6" s="7" t="s">
        <v>445</v>
      </c>
      <c r="G6" s="7" t="s">
        <v>445</v>
      </c>
      <c r="H6" s="7" t="s">
        <v>445</v>
      </c>
      <c r="I6" s="7" t="s">
        <v>445</v>
      </c>
      <c r="J6" s="7" t="s">
        <v>445</v>
      </c>
      <c r="K6" s="7" t="s">
        <v>445</v>
      </c>
      <c r="L6" s="7" t="s">
        <v>445</v>
      </c>
      <c r="M6" s="7" t="s">
        <v>445</v>
      </c>
    </row>
    <row r="7" customFormat="false" ht="49.25" hidden="false" customHeight="false" outlineLevel="0" collapsed="false">
      <c r="A7" s="6" t="s">
        <v>446</v>
      </c>
      <c r="B7" s="7" t="s">
        <v>447</v>
      </c>
      <c r="C7" s="7" t="s">
        <v>447</v>
      </c>
      <c r="D7" s="7" t="s">
        <v>447</v>
      </c>
      <c r="E7" s="7" t="s">
        <v>447</v>
      </c>
      <c r="F7" s="7" t="s">
        <v>447</v>
      </c>
      <c r="G7" s="7" t="s">
        <v>447</v>
      </c>
      <c r="H7" s="7" t="s">
        <v>447</v>
      </c>
      <c r="I7" s="7" t="s">
        <v>447</v>
      </c>
      <c r="J7" s="7" t="s">
        <v>447</v>
      </c>
      <c r="K7" s="7" t="s">
        <v>447</v>
      </c>
      <c r="L7" s="7" t="s">
        <v>447</v>
      </c>
      <c r="M7" s="7" t="s">
        <v>447</v>
      </c>
    </row>
    <row r="8" customFormat="false" ht="73.1" hidden="false" customHeight="false" outlineLevel="0" collapsed="false">
      <c r="A8" s="6" t="s">
        <v>448</v>
      </c>
      <c r="B8" s="7" t="s">
        <v>449</v>
      </c>
      <c r="C8" s="7" t="s">
        <v>449</v>
      </c>
      <c r="D8" s="7" t="s">
        <v>449</v>
      </c>
      <c r="E8" s="7" t="s">
        <v>449</v>
      </c>
      <c r="F8" s="7" t="s">
        <v>449</v>
      </c>
      <c r="G8" s="7" t="s">
        <v>449</v>
      </c>
      <c r="H8" s="7" t="s">
        <v>449</v>
      </c>
      <c r="I8" s="7" t="s">
        <v>449</v>
      </c>
      <c r="J8" s="7" t="s">
        <v>449</v>
      </c>
      <c r="K8" s="7" t="s">
        <v>449</v>
      </c>
      <c r="L8" s="7" t="s">
        <v>449</v>
      </c>
      <c r="M8" s="7" t="s">
        <v>449</v>
      </c>
    </row>
    <row r="9" customFormat="false" ht="49.25" hidden="false" customHeight="false" outlineLevel="0" collapsed="false">
      <c r="A9" s="6" t="s">
        <v>450</v>
      </c>
      <c r="B9" s="7" t="s">
        <v>451</v>
      </c>
      <c r="C9" s="7" t="s">
        <v>451</v>
      </c>
      <c r="D9" s="7" t="s">
        <v>451</v>
      </c>
      <c r="E9" s="7" t="s">
        <v>451</v>
      </c>
      <c r="F9" s="7" t="s">
        <v>451</v>
      </c>
      <c r="G9" s="7" t="s">
        <v>451</v>
      </c>
      <c r="H9" s="7" t="s">
        <v>451</v>
      </c>
      <c r="I9" s="7" t="s">
        <v>451</v>
      </c>
      <c r="J9" s="7" t="s">
        <v>451</v>
      </c>
      <c r="K9" s="7" t="s">
        <v>451</v>
      </c>
      <c r="L9" s="7" t="s">
        <v>451</v>
      </c>
      <c r="M9" s="7" t="s">
        <v>451</v>
      </c>
    </row>
    <row r="11" customFormat="false" ht="45.75" hidden="false" customHeight="true" outlineLevel="0" collapsed="false">
      <c r="A11" s="9" t="s">
        <v>254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</sheetData>
  <mergeCells count="2">
    <mergeCell ref="A3:M3"/>
    <mergeCell ref="A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452</v>
      </c>
    </row>
    <row r="3" customFormat="false" ht="45.75" hidden="false" customHeight="true" outlineLevel="0" collapsed="false">
      <c r="A3" s="9" t="s">
        <v>453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45.75" hidden="false" customHeight="true" outlineLevel="0" collapsed="false">
      <c r="A5" s="5" t="s">
        <v>206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211</v>
      </c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 t="s">
        <v>217</v>
      </c>
      <c r="M5" s="5" t="s">
        <v>218</v>
      </c>
    </row>
    <row r="6" customFormat="false" ht="15" hidden="false" customHeight="false" outlineLevel="0" collapsed="false">
      <c r="A6" s="6" t="s">
        <v>454</v>
      </c>
      <c r="B6" s="7" t="s">
        <v>455</v>
      </c>
      <c r="C6" s="7" t="s">
        <v>455</v>
      </c>
      <c r="D6" s="7" t="s">
        <v>455</v>
      </c>
      <c r="E6" s="7" t="s">
        <v>455</v>
      </c>
      <c r="F6" s="7" t="s">
        <v>456</v>
      </c>
      <c r="G6" s="7" t="s">
        <v>456</v>
      </c>
      <c r="H6" s="7" t="s">
        <v>455</v>
      </c>
      <c r="I6" s="7" t="s">
        <v>456</v>
      </c>
      <c r="J6" s="7" t="s">
        <v>456</v>
      </c>
      <c r="K6" s="7" t="s">
        <v>455</v>
      </c>
      <c r="L6" s="7" t="s">
        <v>456</v>
      </c>
      <c r="M6" s="7" t="s">
        <v>456</v>
      </c>
    </row>
    <row r="7" customFormat="false" ht="15" hidden="false" customHeight="false" outlineLevel="0" collapsed="false">
      <c r="A7" s="6" t="s">
        <v>457</v>
      </c>
      <c r="B7" s="7" t="n">
        <v>1</v>
      </c>
      <c r="C7" s="7" t="n">
        <v>1</v>
      </c>
      <c r="D7" s="7" t="n">
        <v>0</v>
      </c>
      <c r="E7" s="7" t="n">
        <v>1</v>
      </c>
      <c r="F7" s="7" t="n">
        <v>1</v>
      </c>
      <c r="G7" s="7" t="n">
        <v>1</v>
      </c>
      <c r="H7" s="7" t="n">
        <v>0</v>
      </c>
      <c r="I7" s="7" t="n">
        <v>1</v>
      </c>
      <c r="J7" s="7" t="n">
        <v>0</v>
      </c>
      <c r="K7" s="7" t="n">
        <v>1</v>
      </c>
      <c r="L7" s="7" t="n">
        <v>0</v>
      </c>
      <c r="M7" s="7" t="n">
        <v>1</v>
      </c>
    </row>
    <row r="9" customFormat="false" ht="45.75" hidden="false" customHeight="true" outlineLevel="0" collapsed="false">
      <c r="A9" s="9" t="s">
        <v>254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</sheetData>
  <mergeCells count="2">
    <mergeCell ref="A3:M3"/>
    <mergeCell ref="A9:M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458</v>
      </c>
    </row>
    <row r="3" customFormat="false" ht="45.75" hidden="false" customHeight="true" outlineLevel="0" collapsed="false">
      <c r="A3" s="5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213</v>
      </c>
      <c r="I3" s="5" t="s">
        <v>214</v>
      </c>
      <c r="J3" s="5" t="s">
        <v>215</v>
      </c>
      <c r="K3" s="5" t="s">
        <v>216</v>
      </c>
      <c r="L3" s="5" t="s">
        <v>217</v>
      </c>
      <c r="M3" s="5" t="s">
        <v>218</v>
      </c>
    </row>
    <row r="4" customFormat="false" ht="15" hidden="false" customHeight="false" outlineLevel="0" collapsed="false">
      <c r="A4" s="6" t="s">
        <v>459</v>
      </c>
      <c r="B4" s="7" t="s">
        <v>460</v>
      </c>
      <c r="C4" s="7" t="s">
        <v>461</v>
      </c>
      <c r="D4" s="7" t="s">
        <v>462</v>
      </c>
      <c r="E4" s="7" t="s">
        <v>463</v>
      </c>
      <c r="F4" s="7" t="s">
        <v>464</v>
      </c>
      <c r="G4" s="7" t="s">
        <v>465</v>
      </c>
      <c r="H4" s="7" t="s">
        <v>466</v>
      </c>
      <c r="I4" s="7" t="s">
        <v>467</v>
      </c>
      <c r="J4" s="7" t="s">
        <v>468</v>
      </c>
      <c r="K4" s="7" t="s">
        <v>469</v>
      </c>
      <c r="L4" s="7" t="s">
        <v>470</v>
      </c>
      <c r="M4" s="7" t="s">
        <v>471</v>
      </c>
    </row>
    <row r="5" customFormat="false" ht="15" hidden="false" customHeight="false" outlineLevel="0" collapsed="false">
      <c r="A5" s="6" t="s">
        <v>472</v>
      </c>
      <c r="B5" s="7" t="s">
        <v>473</v>
      </c>
      <c r="C5" s="7" t="s">
        <v>474</v>
      </c>
      <c r="D5" s="7" t="s">
        <v>475</v>
      </c>
      <c r="E5" s="7" t="s">
        <v>476</v>
      </c>
      <c r="F5" s="7" t="s">
        <v>477</v>
      </c>
      <c r="G5" s="7" t="s">
        <v>478</v>
      </c>
      <c r="H5" s="7" t="s">
        <v>479</v>
      </c>
      <c r="I5" s="7" t="s">
        <v>480</v>
      </c>
      <c r="J5" s="7" t="s">
        <v>481</v>
      </c>
      <c r="K5" s="7" t="s">
        <v>482</v>
      </c>
      <c r="L5" s="7" t="s">
        <v>483</v>
      </c>
      <c r="M5" s="7" t="s">
        <v>484</v>
      </c>
    </row>
    <row r="6" customFormat="false" ht="15" hidden="false" customHeight="false" outlineLevel="0" collapsed="false">
      <c r="A6" s="6" t="s">
        <v>485</v>
      </c>
      <c r="B6" s="7" t="s">
        <v>486</v>
      </c>
      <c r="C6" s="7" t="s">
        <v>487</v>
      </c>
      <c r="D6" s="7" t="s">
        <v>488</v>
      </c>
      <c r="E6" s="7" t="s">
        <v>489</v>
      </c>
      <c r="F6" s="7" t="s">
        <v>490</v>
      </c>
      <c r="G6" s="7" t="s">
        <v>491</v>
      </c>
      <c r="H6" s="7" t="s">
        <v>492</v>
      </c>
      <c r="I6" s="7" t="s">
        <v>493</v>
      </c>
      <c r="J6" s="7" t="s">
        <v>494</v>
      </c>
      <c r="K6" s="7" t="s">
        <v>495</v>
      </c>
      <c r="L6" s="7" t="s">
        <v>496</v>
      </c>
      <c r="M6" s="7" t="s">
        <v>497</v>
      </c>
    </row>
    <row r="7" customFormat="false" ht="15" hidden="false" customHeight="false" outlineLevel="0" collapsed="false">
      <c r="A7" s="6" t="s">
        <v>498</v>
      </c>
      <c r="B7" s="7" t="s">
        <v>499</v>
      </c>
      <c r="C7" s="7" t="s">
        <v>500</v>
      </c>
      <c r="D7" s="7" t="s">
        <v>501</v>
      </c>
      <c r="E7" s="7" t="s">
        <v>502</v>
      </c>
      <c r="F7" s="7" t="s">
        <v>503</v>
      </c>
      <c r="G7" s="7" t="s">
        <v>504</v>
      </c>
      <c r="H7" s="7" t="s">
        <v>505</v>
      </c>
      <c r="I7" s="7" t="s">
        <v>506</v>
      </c>
      <c r="J7" s="7" t="s">
        <v>507</v>
      </c>
      <c r="K7" s="7" t="s">
        <v>280</v>
      </c>
      <c r="L7" s="7" t="s">
        <v>508</v>
      </c>
      <c r="M7" s="7" t="s">
        <v>509</v>
      </c>
    </row>
    <row r="8" customFormat="false" ht="15" hidden="false" customHeight="false" outlineLevel="0" collapsed="false">
      <c r="A8" s="6" t="s">
        <v>510</v>
      </c>
      <c r="B8" s="7" t="s">
        <v>511</v>
      </c>
      <c r="C8" s="7" t="s">
        <v>511</v>
      </c>
      <c r="D8" s="7" t="s">
        <v>511</v>
      </c>
      <c r="E8" s="7" t="s">
        <v>511</v>
      </c>
      <c r="F8" s="7" t="s">
        <v>511</v>
      </c>
      <c r="G8" s="7" t="s">
        <v>511</v>
      </c>
      <c r="H8" s="7" t="s">
        <v>511</v>
      </c>
      <c r="I8" s="7" t="s">
        <v>511</v>
      </c>
      <c r="J8" s="7" t="s">
        <v>511</v>
      </c>
      <c r="K8" s="7" t="s">
        <v>511</v>
      </c>
      <c r="L8" s="7" t="s">
        <v>511</v>
      </c>
      <c r="M8" s="7" t="s">
        <v>511</v>
      </c>
    </row>
    <row r="9" customFormat="false" ht="15" hidden="false" customHeight="false" outlineLevel="0" collapsed="false">
      <c r="A9" s="6" t="s">
        <v>512</v>
      </c>
      <c r="B9" s="7" t="s">
        <v>513</v>
      </c>
      <c r="C9" s="7" t="s">
        <v>513</v>
      </c>
      <c r="D9" s="7" t="s">
        <v>513</v>
      </c>
      <c r="E9" s="7" t="s">
        <v>513</v>
      </c>
      <c r="F9" s="7" t="s">
        <v>513</v>
      </c>
      <c r="G9" s="7" t="s">
        <v>513</v>
      </c>
      <c r="H9" s="7" t="s">
        <v>513</v>
      </c>
      <c r="I9" s="7" t="s">
        <v>513</v>
      </c>
      <c r="J9" s="7" t="s">
        <v>513</v>
      </c>
      <c r="K9" s="7" t="s">
        <v>513</v>
      </c>
      <c r="L9" s="7" t="s">
        <v>513</v>
      </c>
      <c r="M9" s="7" t="s">
        <v>513</v>
      </c>
    </row>
    <row r="10" customFormat="false" ht="15" hidden="false" customHeight="false" outlineLevel="0" collapsed="false">
      <c r="A10" s="6" t="s">
        <v>514</v>
      </c>
      <c r="B10" s="7" t="s">
        <v>511</v>
      </c>
      <c r="C10" s="7" t="s">
        <v>511</v>
      </c>
      <c r="D10" s="7" t="s">
        <v>511</v>
      </c>
      <c r="E10" s="7" t="s">
        <v>511</v>
      </c>
      <c r="F10" s="7" t="s">
        <v>511</v>
      </c>
      <c r="G10" s="7" t="s">
        <v>511</v>
      </c>
      <c r="H10" s="7" t="s">
        <v>511</v>
      </c>
      <c r="I10" s="7" t="s">
        <v>511</v>
      </c>
      <c r="J10" s="7" t="s">
        <v>511</v>
      </c>
      <c r="K10" s="7" t="s">
        <v>511</v>
      </c>
      <c r="L10" s="7" t="s">
        <v>511</v>
      </c>
      <c r="M10" s="7" t="s">
        <v>511</v>
      </c>
    </row>
    <row r="11" customFormat="false" ht="15" hidden="false" customHeight="false" outlineLevel="0" collapsed="false">
      <c r="A11" s="6" t="s">
        <v>515</v>
      </c>
      <c r="B11" s="7" t="s">
        <v>513</v>
      </c>
      <c r="C11" s="7" t="s">
        <v>513</v>
      </c>
      <c r="D11" s="7" t="s">
        <v>513</v>
      </c>
      <c r="E11" s="7" t="s">
        <v>513</v>
      </c>
      <c r="F11" s="7" t="s">
        <v>513</v>
      </c>
      <c r="G11" s="7" t="s">
        <v>513</v>
      </c>
      <c r="H11" s="7" t="s">
        <v>513</v>
      </c>
      <c r="I11" s="7" t="s">
        <v>513</v>
      </c>
      <c r="J11" s="7" t="s">
        <v>513</v>
      </c>
      <c r="K11" s="7" t="s">
        <v>513</v>
      </c>
      <c r="L11" s="7" t="s">
        <v>513</v>
      </c>
      <c r="M11" s="7" t="s">
        <v>513</v>
      </c>
    </row>
    <row r="12" customFormat="false" ht="15" hidden="false" customHeight="false" outlineLevel="0" collapsed="false">
      <c r="A12" s="6" t="s">
        <v>516</v>
      </c>
      <c r="B12" s="7" t="s">
        <v>511</v>
      </c>
      <c r="C12" s="7" t="s">
        <v>511</v>
      </c>
      <c r="D12" s="7" t="s">
        <v>511</v>
      </c>
      <c r="E12" s="7" t="s">
        <v>511</v>
      </c>
      <c r="F12" s="7" t="s">
        <v>511</v>
      </c>
      <c r="G12" s="7" t="s">
        <v>511</v>
      </c>
      <c r="H12" s="7" t="s">
        <v>511</v>
      </c>
      <c r="I12" s="7" t="s">
        <v>511</v>
      </c>
      <c r="J12" s="7" t="s">
        <v>511</v>
      </c>
      <c r="K12" s="7" t="s">
        <v>511</v>
      </c>
      <c r="L12" s="7" t="s">
        <v>511</v>
      </c>
      <c r="M12" s="7" t="s">
        <v>511</v>
      </c>
    </row>
    <row r="13" customFormat="false" ht="15" hidden="false" customHeight="false" outlineLevel="0" collapsed="false">
      <c r="A13" s="6" t="s">
        <v>517</v>
      </c>
      <c r="B13" s="7" t="s">
        <v>513</v>
      </c>
      <c r="C13" s="7" t="s">
        <v>513</v>
      </c>
      <c r="D13" s="7" t="s">
        <v>513</v>
      </c>
      <c r="E13" s="7" t="s">
        <v>513</v>
      </c>
      <c r="F13" s="7" t="s">
        <v>513</v>
      </c>
      <c r="G13" s="7" t="s">
        <v>513</v>
      </c>
      <c r="H13" s="7" t="s">
        <v>513</v>
      </c>
      <c r="I13" s="7" t="s">
        <v>513</v>
      </c>
      <c r="J13" s="7" t="s">
        <v>513</v>
      </c>
      <c r="K13" s="7" t="s">
        <v>513</v>
      </c>
      <c r="L13" s="7" t="s">
        <v>513</v>
      </c>
      <c r="M13" s="7" t="s">
        <v>513</v>
      </c>
    </row>
    <row r="14" customFormat="false" ht="15" hidden="false" customHeight="false" outlineLevel="0" collapsed="false">
      <c r="A14" s="6" t="s">
        <v>518</v>
      </c>
      <c r="B14" s="7" t="s">
        <v>519</v>
      </c>
      <c r="C14" s="7" t="s">
        <v>519</v>
      </c>
      <c r="D14" s="7" t="s">
        <v>519</v>
      </c>
      <c r="E14" s="7" t="s">
        <v>519</v>
      </c>
      <c r="F14" s="7" t="s">
        <v>519</v>
      </c>
      <c r="G14" s="7" t="s">
        <v>519</v>
      </c>
      <c r="H14" s="7" t="s">
        <v>519</v>
      </c>
      <c r="I14" s="7" t="s">
        <v>519</v>
      </c>
      <c r="J14" s="7" t="s">
        <v>519</v>
      </c>
      <c r="K14" s="7" t="s">
        <v>519</v>
      </c>
      <c r="L14" s="7" t="s">
        <v>519</v>
      </c>
      <c r="M14" s="7" t="s">
        <v>519</v>
      </c>
    </row>
    <row r="15" customFormat="false" ht="15" hidden="false" customHeight="false" outlineLevel="0" collapsed="false">
      <c r="A15" s="6" t="s">
        <v>520</v>
      </c>
      <c r="B15" s="7" t="s">
        <v>511</v>
      </c>
      <c r="C15" s="7" t="s">
        <v>511</v>
      </c>
      <c r="D15" s="7" t="s">
        <v>511</v>
      </c>
      <c r="E15" s="7" t="s">
        <v>511</v>
      </c>
      <c r="F15" s="7" t="s">
        <v>511</v>
      </c>
      <c r="G15" s="7" t="s">
        <v>511</v>
      </c>
      <c r="H15" s="7" t="s">
        <v>511</v>
      </c>
      <c r="I15" s="7" t="s">
        <v>511</v>
      </c>
      <c r="J15" s="7" t="s">
        <v>511</v>
      </c>
      <c r="K15" s="7" t="s">
        <v>511</v>
      </c>
      <c r="L15" s="7" t="s">
        <v>511</v>
      </c>
      <c r="M15" s="7" t="s">
        <v>511</v>
      </c>
    </row>
    <row r="16" customFormat="false" ht="15" hidden="false" customHeight="false" outlineLevel="0" collapsed="false">
      <c r="A16" s="6" t="s">
        <v>521</v>
      </c>
      <c r="B16" s="7" t="s">
        <v>522</v>
      </c>
      <c r="C16" s="7" t="s">
        <v>523</v>
      </c>
      <c r="D16" s="7" t="s">
        <v>524</v>
      </c>
      <c r="E16" s="7" t="s">
        <v>525</v>
      </c>
      <c r="F16" s="7" t="s">
        <v>526</v>
      </c>
      <c r="G16" s="7" t="s">
        <v>527</v>
      </c>
      <c r="H16" s="7" t="s">
        <v>528</v>
      </c>
      <c r="I16" s="7" t="s">
        <v>529</v>
      </c>
      <c r="J16" s="7" t="s">
        <v>530</v>
      </c>
      <c r="K16" s="7" t="s">
        <v>531</v>
      </c>
      <c r="L16" s="7" t="s">
        <v>532</v>
      </c>
      <c r="M16" s="7" t="s">
        <v>533</v>
      </c>
    </row>
    <row r="17" customFormat="false" ht="15" hidden="false" customHeight="false" outlineLevel="0" collapsed="false">
      <c r="A17" s="6" t="s">
        <v>534</v>
      </c>
      <c r="B17" s="7" t="s">
        <v>535</v>
      </c>
      <c r="C17" s="7" t="s">
        <v>536</v>
      </c>
      <c r="D17" s="7" t="s">
        <v>537</v>
      </c>
      <c r="E17" s="7" t="s">
        <v>538</v>
      </c>
      <c r="F17" s="7" t="s">
        <v>539</v>
      </c>
      <c r="G17" s="7" t="s">
        <v>540</v>
      </c>
      <c r="H17" s="7" t="s">
        <v>541</v>
      </c>
      <c r="I17" s="7" t="s">
        <v>350</v>
      </c>
      <c r="J17" s="7" t="s">
        <v>542</v>
      </c>
      <c r="K17" s="7" t="s">
        <v>543</v>
      </c>
      <c r="L17" s="7" t="s">
        <v>544</v>
      </c>
      <c r="M17" s="7" t="s">
        <v>545</v>
      </c>
    </row>
    <row r="18" customFormat="false" ht="15" hidden="false" customHeight="false" outlineLevel="0" collapsed="false">
      <c r="A18" s="6" t="s">
        <v>546</v>
      </c>
      <c r="B18" s="7" t="s">
        <v>547</v>
      </c>
      <c r="C18" s="7" t="s">
        <v>548</v>
      </c>
      <c r="D18" s="7" t="s">
        <v>549</v>
      </c>
      <c r="E18" s="7" t="s">
        <v>550</v>
      </c>
      <c r="F18" s="7" t="s">
        <v>551</v>
      </c>
      <c r="G18" s="7" t="s">
        <v>552</v>
      </c>
      <c r="H18" s="7" t="s">
        <v>553</v>
      </c>
      <c r="I18" s="7" t="s">
        <v>554</v>
      </c>
      <c r="J18" s="7" t="s">
        <v>555</v>
      </c>
      <c r="K18" s="7" t="s">
        <v>556</v>
      </c>
      <c r="L18" s="7" t="s">
        <v>557</v>
      </c>
      <c r="M18" s="7" t="s">
        <v>558</v>
      </c>
    </row>
    <row r="19" customFormat="false" ht="25.35" hidden="false" customHeight="false" outlineLevel="0" collapsed="false">
      <c r="A19" s="6" t="s">
        <v>559</v>
      </c>
      <c r="B19" s="7" t="s">
        <v>560</v>
      </c>
      <c r="C19" s="7" t="s">
        <v>560</v>
      </c>
      <c r="D19" s="7" t="s">
        <v>560</v>
      </c>
      <c r="E19" s="7" t="s">
        <v>560</v>
      </c>
      <c r="F19" s="7" t="s">
        <v>560</v>
      </c>
      <c r="G19" s="7" t="s">
        <v>560</v>
      </c>
      <c r="H19" s="7" t="s">
        <v>560</v>
      </c>
      <c r="I19" s="7" t="s">
        <v>560</v>
      </c>
      <c r="J19" s="7" t="s">
        <v>560</v>
      </c>
      <c r="K19" s="7" t="s">
        <v>560</v>
      </c>
      <c r="L19" s="7" t="s">
        <v>560</v>
      </c>
      <c r="M19" s="7" t="s">
        <v>560</v>
      </c>
    </row>
    <row r="20" customFormat="false" ht="25.35" hidden="false" customHeight="false" outlineLevel="0" collapsed="false">
      <c r="A20" s="6" t="s">
        <v>561</v>
      </c>
      <c r="B20" s="7" t="s">
        <v>562</v>
      </c>
      <c r="C20" s="7" t="s">
        <v>562</v>
      </c>
      <c r="D20" s="7" t="s">
        <v>562</v>
      </c>
      <c r="E20" s="7" t="s">
        <v>562</v>
      </c>
      <c r="F20" s="7" t="s">
        <v>562</v>
      </c>
      <c r="G20" s="7" t="s">
        <v>562</v>
      </c>
      <c r="H20" s="7" t="s">
        <v>562</v>
      </c>
      <c r="I20" s="7" t="s">
        <v>562</v>
      </c>
      <c r="J20" s="7" t="s">
        <v>562</v>
      </c>
      <c r="K20" s="7" t="s">
        <v>562</v>
      </c>
      <c r="L20" s="7" t="s">
        <v>562</v>
      </c>
      <c r="M20" s="7" t="s">
        <v>562</v>
      </c>
    </row>
    <row r="21" customFormat="false" ht="25.35" hidden="false" customHeight="false" outlineLevel="0" collapsed="false">
      <c r="A21" s="6" t="s">
        <v>563</v>
      </c>
      <c r="B21" s="7" t="s">
        <v>564</v>
      </c>
      <c r="C21" s="7" t="s">
        <v>564</v>
      </c>
      <c r="D21" s="7" t="s">
        <v>564</v>
      </c>
      <c r="E21" s="7" t="s">
        <v>564</v>
      </c>
      <c r="F21" s="7" t="s">
        <v>564</v>
      </c>
      <c r="G21" s="7" t="s">
        <v>564</v>
      </c>
      <c r="H21" s="7" t="s">
        <v>564</v>
      </c>
      <c r="I21" s="7" t="s">
        <v>564</v>
      </c>
      <c r="J21" s="7" t="s">
        <v>564</v>
      </c>
      <c r="K21" s="7" t="s">
        <v>564</v>
      </c>
      <c r="L21" s="7" t="s">
        <v>564</v>
      </c>
      <c r="M21" s="7" t="s">
        <v>564</v>
      </c>
    </row>
    <row r="22" customFormat="false" ht="25.35" hidden="false" customHeight="false" outlineLevel="0" collapsed="false">
      <c r="A22" s="6" t="s">
        <v>565</v>
      </c>
      <c r="B22" s="7" t="s">
        <v>566</v>
      </c>
      <c r="C22" s="7" t="s">
        <v>566</v>
      </c>
      <c r="D22" s="7" t="s">
        <v>566</v>
      </c>
      <c r="E22" s="7" t="s">
        <v>566</v>
      </c>
      <c r="F22" s="7" t="s">
        <v>566</v>
      </c>
      <c r="G22" s="7" t="s">
        <v>566</v>
      </c>
      <c r="H22" s="7" t="s">
        <v>566</v>
      </c>
      <c r="I22" s="7" t="s">
        <v>566</v>
      </c>
      <c r="J22" s="7" t="s">
        <v>566</v>
      </c>
      <c r="K22" s="7" t="s">
        <v>566</v>
      </c>
      <c r="L22" s="7" t="s">
        <v>566</v>
      </c>
      <c r="M22" s="7" t="s">
        <v>566</v>
      </c>
    </row>
    <row r="23" customFormat="false" ht="25.35" hidden="false" customHeight="false" outlineLevel="0" collapsed="false">
      <c r="A23" s="6" t="s">
        <v>567</v>
      </c>
      <c r="B23" s="7" t="s">
        <v>568</v>
      </c>
      <c r="C23" s="7" t="s">
        <v>568</v>
      </c>
      <c r="D23" s="7" t="s">
        <v>568</v>
      </c>
      <c r="E23" s="7" t="s">
        <v>568</v>
      </c>
      <c r="F23" s="7" t="s">
        <v>568</v>
      </c>
      <c r="G23" s="7" t="s">
        <v>568</v>
      </c>
      <c r="H23" s="7" t="s">
        <v>568</v>
      </c>
      <c r="I23" s="7" t="s">
        <v>568</v>
      </c>
      <c r="J23" s="7" t="s">
        <v>568</v>
      </c>
      <c r="K23" s="7" t="s">
        <v>568</v>
      </c>
      <c r="L23" s="7" t="s">
        <v>568</v>
      </c>
      <c r="M23" s="7" t="s">
        <v>568</v>
      </c>
    </row>
    <row r="24" customFormat="false" ht="25.35" hidden="false" customHeight="false" outlineLevel="0" collapsed="false">
      <c r="A24" s="6" t="s">
        <v>569</v>
      </c>
      <c r="B24" s="7" t="s">
        <v>570</v>
      </c>
      <c r="C24" s="7" t="s">
        <v>570</v>
      </c>
      <c r="D24" s="7" t="s">
        <v>570</v>
      </c>
      <c r="E24" s="7" t="s">
        <v>570</v>
      </c>
      <c r="F24" s="7" t="s">
        <v>570</v>
      </c>
      <c r="G24" s="7" t="s">
        <v>570</v>
      </c>
      <c r="H24" s="7" t="s">
        <v>570</v>
      </c>
      <c r="I24" s="7" t="s">
        <v>570</v>
      </c>
      <c r="J24" s="7" t="s">
        <v>570</v>
      </c>
      <c r="K24" s="7" t="s">
        <v>570</v>
      </c>
      <c r="L24" s="7" t="s">
        <v>570</v>
      </c>
      <c r="M24" s="7" t="s">
        <v>570</v>
      </c>
    </row>
    <row r="26" customFormat="false" ht="45.75" hidden="false" customHeight="true" outlineLevel="0" collapsed="false">
      <c r="A26" s="9" t="s">
        <v>254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</sheetData>
  <mergeCells count="1"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571</v>
      </c>
    </row>
    <row r="3" customFormat="false" ht="45.75" hidden="false" customHeight="true" outlineLevel="0" collapsed="false">
      <c r="A3" s="9" t="s">
        <v>572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45.75" hidden="false" customHeight="true" outlineLevel="0" collapsed="false">
      <c r="A5" s="5" t="s">
        <v>206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211</v>
      </c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 t="s">
        <v>217</v>
      </c>
      <c r="M5" s="5" t="s">
        <v>218</v>
      </c>
    </row>
    <row r="6" customFormat="false" ht="15" hidden="false" customHeight="false" outlineLevel="0" collapsed="false">
      <c r="A6" s="6" t="s">
        <v>573</v>
      </c>
      <c r="B6" s="7" t="n">
        <v>4</v>
      </c>
      <c r="C6" s="7" t="n">
        <v>4</v>
      </c>
      <c r="D6" s="7" t="n">
        <v>4</v>
      </c>
      <c r="E6" s="7" t="n">
        <v>4</v>
      </c>
      <c r="F6" s="7" t="n">
        <v>4</v>
      </c>
      <c r="G6" s="7" t="n">
        <v>4</v>
      </c>
      <c r="H6" s="7" t="n">
        <v>3</v>
      </c>
      <c r="I6" s="7" t="n">
        <v>4</v>
      </c>
      <c r="J6" s="7" t="n">
        <v>4</v>
      </c>
      <c r="K6" s="7" t="n">
        <v>3</v>
      </c>
      <c r="L6" s="7" t="n">
        <v>5</v>
      </c>
      <c r="M6" s="7" t="n">
        <v>4</v>
      </c>
    </row>
    <row r="7" customFormat="false" ht="37.3" hidden="false" customHeight="false" outlineLevel="0" collapsed="false">
      <c r="A7" s="6" t="s">
        <v>574</v>
      </c>
      <c r="B7" s="7" t="s">
        <v>575</v>
      </c>
      <c r="C7" s="7" t="s">
        <v>576</v>
      </c>
      <c r="D7" s="7" t="s">
        <v>194</v>
      </c>
      <c r="E7" s="7" t="s">
        <v>576</v>
      </c>
      <c r="F7" s="7" t="s">
        <v>194</v>
      </c>
      <c r="G7" s="7" t="s">
        <v>575</v>
      </c>
      <c r="H7" s="7" t="s">
        <v>575</v>
      </c>
      <c r="I7" s="7" t="s">
        <v>576</v>
      </c>
      <c r="J7" s="7" t="s">
        <v>575</v>
      </c>
      <c r="K7" s="7" t="s">
        <v>576</v>
      </c>
      <c r="L7" s="7" t="s">
        <v>194</v>
      </c>
      <c r="M7" s="7" t="s">
        <v>194</v>
      </c>
    </row>
    <row r="8" customFormat="false" ht="25.35" hidden="false" customHeight="false" outlineLevel="0" collapsed="false">
      <c r="A8" s="6" t="s">
        <v>577</v>
      </c>
      <c r="B8" s="7" t="s">
        <v>578</v>
      </c>
      <c r="C8" s="7" t="s">
        <v>578</v>
      </c>
      <c r="D8" s="7" t="s">
        <v>579</v>
      </c>
      <c r="E8" s="7" t="s">
        <v>578</v>
      </c>
      <c r="F8" s="7" t="s">
        <v>580</v>
      </c>
      <c r="G8" s="7" t="s">
        <v>578</v>
      </c>
      <c r="H8" s="7" t="s">
        <v>578</v>
      </c>
      <c r="I8" s="7" t="s">
        <v>580</v>
      </c>
      <c r="J8" s="7" t="s">
        <v>579</v>
      </c>
      <c r="K8" s="7" t="s">
        <v>578</v>
      </c>
      <c r="L8" s="7" t="s">
        <v>579</v>
      </c>
      <c r="M8" s="7" t="s">
        <v>579</v>
      </c>
    </row>
    <row r="10" customFormat="false" ht="45.75" hidden="false" customHeight="true" outlineLevel="0" collapsed="false">
      <c r="A10" s="9" t="s">
        <v>254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mergeCells count="2">
    <mergeCell ref="A3:M3"/>
    <mergeCell ref="A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581</v>
      </c>
    </row>
    <row r="3" customFormat="false" ht="45.75" hidden="false" customHeight="true" outlineLevel="0" collapsed="false">
      <c r="A3" s="9" t="s">
        <v>582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45.75" hidden="false" customHeight="true" outlineLevel="0" collapsed="false">
      <c r="A5" s="5" t="s">
        <v>206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211</v>
      </c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 t="s">
        <v>217</v>
      </c>
      <c r="M5" s="5" t="s">
        <v>218</v>
      </c>
    </row>
    <row r="6" customFormat="false" ht="25.35" hidden="false" customHeight="false" outlineLevel="0" collapsed="false">
      <c r="A6" s="6" t="s">
        <v>583</v>
      </c>
      <c r="B6" s="7" t="s">
        <v>584</v>
      </c>
      <c r="C6" s="7" t="s">
        <v>584</v>
      </c>
      <c r="D6" s="7" t="s">
        <v>584</v>
      </c>
      <c r="E6" s="7" t="s">
        <v>584</v>
      </c>
      <c r="F6" s="7" t="s">
        <v>584</v>
      </c>
      <c r="G6" s="7" t="s">
        <v>584</v>
      </c>
      <c r="H6" s="7" t="s">
        <v>584</v>
      </c>
      <c r="I6" s="7" t="s">
        <v>584</v>
      </c>
      <c r="J6" s="7" t="s">
        <v>584</v>
      </c>
      <c r="K6" s="7" t="s">
        <v>584</v>
      </c>
      <c r="L6" s="7" t="s">
        <v>584</v>
      </c>
      <c r="M6" s="7" t="s">
        <v>584</v>
      </c>
    </row>
    <row r="7" customFormat="false" ht="25.35" hidden="false" customHeight="false" outlineLevel="0" collapsed="false">
      <c r="A7" s="6" t="s">
        <v>585</v>
      </c>
      <c r="B7" s="7" t="s">
        <v>586</v>
      </c>
      <c r="C7" s="7" t="s">
        <v>586</v>
      </c>
      <c r="D7" s="7" t="s">
        <v>586</v>
      </c>
      <c r="E7" s="7" t="s">
        <v>586</v>
      </c>
      <c r="F7" s="7" t="s">
        <v>586</v>
      </c>
      <c r="G7" s="7" t="s">
        <v>586</v>
      </c>
      <c r="H7" s="7" t="s">
        <v>586</v>
      </c>
      <c r="I7" s="7" t="s">
        <v>586</v>
      </c>
      <c r="J7" s="7" t="s">
        <v>586</v>
      </c>
      <c r="K7" s="7" t="s">
        <v>586</v>
      </c>
      <c r="L7" s="7" t="s">
        <v>586</v>
      </c>
      <c r="M7" s="7" t="s">
        <v>586</v>
      </c>
    </row>
    <row r="8" customFormat="false" ht="25.35" hidden="false" customHeight="false" outlineLevel="0" collapsed="false">
      <c r="A8" s="6" t="s">
        <v>587</v>
      </c>
      <c r="B8" s="7" t="s">
        <v>588</v>
      </c>
      <c r="C8" s="7" t="s">
        <v>588</v>
      </c>
      <c r="D8" s="7" t="s">
        <v>588</v>
      </c>
      <c r="E8" s="7" t="s">
        <v>588</v>
      </c>
      <c r="F8" s="7" t="s">
        <v>588</v>
      </c>
      <c r="G8" s="7" t="s">
        <v>588</v>
      </c>
      <c r="H8" s="7" t="s">
        <v>588</v>
      </c>
      <c r="I8" s="7" t="s">
        <v>588</v>
      </c>
      <c r="J8" s="7" t="s">
        <v>588</v>
      </c>
      <c r="K8" s="7" t="s">
        <v>588</v>
      </c>
      <c r="L8" s="7" t="s">
        <v>588</v>
      </c>
      <c r="M8" s="7" t="s">
        <v>588</v>
      </c>
    </row>
    <row r="9" customFormat="false" ht="15" hidden="false" customHeight="false" outlineLevel="0" collapsed="false">
      <c r="A9" s="6" t="s">
        <v>589</v>
      </c>
      <c r="B9" s="7" t="s">
        <v>590</v>
      </c>
      <c r="C9" s="7" t="s">
        <v>590</v>
      </c>
      <c r="D9" s="7" t="s">
        <v>590</v>
      </c>
      <c r="E9" s="7" t="s">
        <v>590</v>
      </c>
      <c r="F9" s="7" t="s">
        <v>590</v>
      </c>
      <c r="G9" s="7" t="s">
        <v>590</v>
      </c>
      <c r="H9" s="7" t="s">
        <v>590</v>
      </c>
      <c r="I9" s="7" t="s">
        <v>590</v>
      </c>
      <c r="J9" s="7" t="s">
        <v>590</v>
      </c>
      <c r="K9" s="7" t="s">
        <v>590</v>
      </c>
      <c r="L9" s="7" t="s">
        <v>590</v>
      </c>
      <c r="M9" s="7" t="s">
        <v>590</v>
      </c>
    </row>
    <row r="10" customFormat="false" ht="25.35" hidden="false" customHeight="false" outlineLevel="0" collapsed="false">
      <c r="A10" s="6" t="s">
        <v>591</v>
      </c>
      <c r="B10" s="7" t="s">
        <v>592</v>
      </c>
      <c r="C10" s="7" t="s">
        <v>592</v>
      </c>
      <c r="D10" s="7" t="s">
        <v>592</v>
      </c>
      <c r="E10" s="7" t="s">
        <v>592</v>
      </c>
      <c r="F10" s="7" t="s">
        <v>592</v>
      </c>
      <c r="G10" s="7" t="s">
        <v>592</v>
      </c>
      <c r="H10" s="7" t="s">
        <v>592</v>
      </c>
      <c r="I10" s="7" t="s">
        <v>592</v>
      </c>
      <c r="J10" s="7" t="s">
        <v>592</v>
      </c>
      <c r="K10" s="7" t="s">
        <v>592</v>
      </c>
      <c r="L10" s="7" t="s">
        <v>592</v>
      </c>
      <c r="M10" s="7" t="s">
        <v>592</v>
      </c>
    </row>
    <row r="11" customFormat="false" ht="25.35" hidden="false" customHeight="false" outlineLevel="0" collapsed="false">
      <c r="A11" s="6" t="s">
        <v>593</v>
      </c>
      <c r="B11" s="7" t="s">
        <v>594</v>
      </c>
      <c r="C11" s="7" t="s">
        <v>594</v>
      </c>
      <c r="D11" s="7" t="s">
        <v>594</v>
      </c>
      <c r="E11" s="7" t="s">
        <v>594</v>
      </c>
      <c r="F11" s="7" t="s">
        <v>594</v>
      </c>
      <c r="G11" s="7" t="s">
        <v>594</v>
      </c>
      <c r="H11" s="7" t="s">
        <v>594</v>
      </c>
      <c r="I11" s="7" t="s">
        <v>594</v>
      </c>
      <c r="J11" s="7" t="s">
        <v>594</v>
      </c>
      <c r="K11" s="7" t="s">
        <v>594</v>
      </c>
      <c r="L11" s="7" t="s">
        <v>594</v>
      </c>
      <c r="M11" s="7" t="s">
        <v>594</v>
      </c>
    </row>
    <row r="12" customFormat="false" ht="37.3" hidden="false" customHeight="false" outlineLevel="0" collapsed="false">
      <c r="A12" s="6" t="s">
        <v>595</v>
      </c>
      <c r="B12" s="7" t="s">
        <v>596</v>
      </c>
      <c r="C12" s="7" t="s">
        <v>596</v>
      </c>
      <c r="D12" s="7" t="s">
        <v>596</v>
      </c>
      <c r="E12" s="7" t="s">
        <v>596</v>
      </c>
      <c r="F12" s="7" t="s">
        <v>596</v>
      </c>
      <c r="G12" s="7" t="s">
        <v>596</v>
      </c>
      <c r="H12" s="7" t="s">
        <v>596</v>
      </c>
      <c r="I12" s="7" t="s">
        <v>596</v>
      </c>
      <c r="J12" s="7" t="s">
        <v>596</v>
      </c>
      <c r="K12" s="7" t="s">
        <v>596</v>
      </c>
      <c r="L12" s="7" t="s">
        <v>596</v>
      </c>
      <c r="M12" s="7" t="s">
        <v>596</v>
      </c>
    </row>
    <row r="13" customFormat="false" ht="25.35" hidden="false" customHeight="false" outlineLevel="0" collapsed="false">
      <c r="A13" s="6" t="s">
        <v>597</v>
      </c>
      <c r="B13" s="7" t="s">
        <v>598</v>
      </c>
      <c r="C13" s="7" t="s">
        <v>598</v>
      </c>
      <c r="D13" s="7" t="s">
        <v>598</v>
      </c>
      <c r="E13" s="7" t="s">
        <v>598</v>
      </c>
      <c r="F13" s="7" t="s">
        <v>598</v>
      </c>
      <c r="G13" s="7" t="s">
        <v>598</v>
      </c>
      <c r="H13" s="7" t="s">
        <v>598</v>
      </c>
      <c r="I13" s="7" t="s">
        <v>598</v>
      </c>
      <c r="J13" s="7" t="s">
        <v>598</v>
      </c>
      <c r="K13" s="7" t="s">
        <v>598</v>
      </c>
      <c r="L13" s="7" t="s">
        <v>598</v>
      </c>
      <c r="M13" s="7" t="s">
        <v>598</v>
      </c>
    </row>
    <row r="14" customFormat="false" ht="25.35" hidden="false" customHeight="false" outlineLevel="0" collapsed="false">
      <c r="A14" s="6" t="s">
        <v>599</v>
      </c>
      <c r="B14" s="7" t="s">
        <v>600</v>
      </c>
      <c r="C14" s="7" t="s">
        <v>600</v>
      </c>
      <c r="D14" s="7" t="s">
        <v>600</v>
      </c>
      <c r="E14" s="7" t="s">
        <v>600</v>
      </c>
      <c r="F14" s="7" t="s">
        <v>601</v>
      </c>
      <c r="G14" s="7" t="s">
        <v>600</v>
      </c>
      <c r="H14" s="7" t="s">
        <v>600</v>
      </c>
      <c r="I14" s="7" t="s">
        <v>601</v>
      </c>
      <c r="J14" s="7" t="s">
        <v>600</v>
      </c>
      <c r="K14" s="7" t="s">
        <v>600</v>
      </c>
      <c r="L14" s="7" t="s">
        <v>600</v>
      </c>
      <c r="M14" s="7" t="s">
        <v>601</v>
      </c>
    </row>
    <row r="15" customFormat="false" ht="15" hidden="false" customHeight="false" outlineLevel="0" collapsed="false">
      <c r="A15" s="6" t="s">
        <v>602</v>
      </c>
      <c r="B15" s="7" t="s">
        <v>296</v>
      </c>
      <c r="C15" s="7" t="s">
        <v>296</v>
      </c>
      <c r="D15" s="7" t="s">
        <v>291</v>
      </c>
      <c r="E15" s="7" t="s">
        <v>297</v>
      </c>
      <c r="F15" s="7" t="s">
        <v>291</v>
      </c>
      <c r="G15" s="7" t="s">
        <v>297</v>
      </c>
      <c r="H15" s="7" t="s">
        <v>291</v>
      </c>
      <c r="I15" s="7" t="s">
        <v>291</v>
      </c>
      <c r="J15" s="7" t="s">
        <v>298</v>
      </c>
      <c r="K15" s="7" t="s">
        <v>296</v>
      </c>
      <c r="L15" s="7" t="s">
        <v>299</v>
      </c>
      <c r="M15" s="7" t="s">
        <v>300</v>
      </c>
    </row>
    <row r="16" customFormat="false" ht="15" hidden="false" customHeight="false" outlineLevel="0" collapsed="false">
      <c r="A16" s="6" t="s">
        <v>603</v>
      </c>
      <c r="B16" s="7" t="s">
        <v>604</v>
      </c>
      <c r="C16" s="7" t="s">
        <v>290</v>
      </c>
      <c r="D16" s="7" t="s">
        <v>296</v>
      </c>
      <c r="E16" s="7" t="s">
        <v>604</v>
      </c>
      <c r="F16" s="7" t="s">
        <v>300</v>
      </c>
      <c r="G16" s="7" t="s">
        <v>296</v>
      </c>
      <c r="H16" s="7" t="s">
        <v>297</v>
      </c>
      <c r="I16" s="7" t="s">
        <v>296</v>
      </c>
      <c r="J16" s="7" t="s">
        <v>287</v>
      </c>
      <c r="K16" s="7" t="s">
        <v>290</v>
      </c>
      <c r="L16" s="7" t="s">
        <v>289</v>
      </c>
      <c r="M16" s="7" t="s">
        <v>303</v>
      </c>
    </row>
    <row r="17" customFormat="false" ht="15" hidden="false" customHeight="false" outlineLevel="0" collapsed="false">
      <c r="A17" s="6" t="s">
        <v>605</v>
      </c>
      <c r="B17" s="7" t="s">
        <v>604</v>
      </c>
      <c r="C17" s="7" t="s">
        <v>297</v>
      </c>
      <c r="D17" s="7" t="s">
        <v>288</v>
      </c>
      <c r="E17" s="7" t="s">
        <v>291</v>
      </c>
      <c r="F17" s="7" t="s">
        <v>302</v>
      </c>
      <c r="G17" s="7" t="s">
        <v>288</v>
      </c>
      <c r="H17" s="7" t="s">
        <v>289</v>
      </c>
      <c r="I17" s="7" t="s">
        <v>303</v>
      </c>
      <c r="J17" s="7" t="s">
        <v>399</v>
      </c>
      <c r="K17" s="7" t="s">
        <v>297</v>
      </c>
      <c r="L17" s="7" t="s">
        <v>296</v>
      </c>
      <c r="M17" s="7" t="s">
        <v>299</v>
      </c>
    </row>
    <row r="18" customFormat="false" ht="15" hidden="false" customHeight="false" outlineLevel="0" collapsed="false">
      <c r="A18" s="6" t="s">
        <v>606</v>
      </c>
      <c r="B18" s="7" t="s">
        <v>607</v>
      </c>
      <c r="C18" s="7" t="s">
        <v>607</v>
      </c>
      <c r="D18" s="7" t="s">
        <v>608</v>
      </c>
      <c r="E18" s="7" t="s">
        <v>607</v>
      </c>
      <c r="F18" s="7" t="s">
        <v>609</v>
      </c>
      <c r="G18" s="7" t="s">
        <v>609</v>
      </c>
      <c r="H18" s="7" t="s">
        <v>609</v>
      </c>
      <c r="I18" s="7" t="s">
        <v>609</v>
      </c>
      <c r="J18" s="7" t="s">
        <v>607</v>
      </c>
      <c r="K18" s="7" t="s">
        <v>607</v>
      </c>
      <c r="L18" s="7" t="s">
        <v>607</v>
      </c>
      <c r="M18" s="7" t="s">
        <v>607</v>
      </c>
    </row>
    <row r="20" customFormat="false" ht="45.75" hidden="false" customHeight="true" outlineLevel="0" collapsed="false">
      <c r="A20" s="9" t="s">
        <v>254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</sheetData>
  <mergeCells count="2">
    <mergeCell ref="A3:M3"/>
    <mergeCell ref="A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610</v>
      </c>
    </row>
    <row r="3" customFormat="false" ht="45.75" hidden="false" customHeight="true" outlineLevel="0" collapsed="false">
      <c r="A3" s="5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213</v>
      </c>
      <c r="I3" s="5" t="s">
        <v>214</v>
      </c>
      <c r="J3" s="5" t="s">
        <v>215</v>
      </c>
      <c r="K3" s="5" t="s">
        <v>216</v>
      </c>
      <c r="L3" s="5" t="s">
        <v>217</v>
      </c>
      <c r="M3" s="5" t="s">
        <v>218</v>
      </c>
    </row>
    <row r="4" customFormat="false" ht="15" hidden="false" customHeight="false" outlineLevel="0" collapsed="false">
      <c r="A4" s="6" t="s">
        <v>611</v>
      </c>
      <c r="B4" s="7" t="s">
        <v>612</v>
      </c>
      <c r="C4" s="7" t="s">
        <v>613</v>
      </c>
      <c r="D4" s="7" t="s">
        <v>614</v>
      </c>
      <c r="E4" s="7" t="s">
        <v>615</v>
      </c>
      <c r="F4" s="7" t="s">
        <v>337</v>
      </c>
      <c r="G4" s="7" t="s">
        <v>616</v>
      </c>
      <c r="H4" s="7" t="s">
        <v>617</v>
      </c>
      <c r="I4" s="7" t="s">
        <v>618</v>
      </c>
      <c r="J4" s="7" t="s">
        <v>619</v>
      </c>
      <c r="K4" s="7" t="s">
        <v>620</v>
      </c>
      <c r="L4" s="7" t="s">
        <v>615</v>
      </c>
      <c r="M4" s="7" t="s">
        <v>618</v>
      </c>
    </row>
    <row r="5" customFormat="false" ht="49.25" hidden="false" customHeight="false" outlineLevel="0" collapsed="false">
      <c r="A5" s="6" t="s">
        <v>621</v>
      </c>
      <c r="B5" s="7" t="s">
        <v>622</v>
      </c>
      <c r="C5" s="7" t="s">
        <v>623</v>
      </c>
      <c r="D5" s="7" t="s">
        <v>622</v>
      </c>
      <c r="E5" s="7" t="s">
        <v>624</v>
      </c>
      <c r="F5" s="7" t="s">
        <v>623</v>
      </c>
      <c r="G5" s="7" t="s">
        <v>624</v>
      </c>
      <c r="H5" s="7" t="s">
        <v>624</v>
      </c>
      <c r="I5" s="7" t="s">
        <v>622</v>
      </c>
      <c r="J5" s="7" t="s">
        <v>624</v>
      </c>
      <c r="K5" s="7" t="s">
        <v>625</v>
      </c>
      <c r="L5" s="7" t="s">
        <v>622</v>
      </c>
      <c r="M5" s="7" t="s">
        <v>624</v>
      </c>
    </row>
    <row r="6" customFormat="false" ht="15" hidden="false" customHeight="false" outlineLevel="0" collapsed="false">
      <c r="A6" s="6" t="s">
        <v>626</v>
      </c>
      <c r="B6" s="7" t="s">
        <v>627</v>
      </c>
      <c r="C6" s="7" t="s">
        <v>628</v>
      </c>
      <c r="D6" s="7" t="s">
        <v>629</v>
      </c>
      <c r="E6" s="7" t="s">
        <v>630</v>
      </c>
      <c r="F6" s="7" t="s">
        <v>631</v>
      </c>
      <c r="G6" s="7" t="s">
        <v>632</v>
      </c>
      <c r="H6" s="7" t="s">
        <v>633</v>
      </c>
      <c r="I6" s="7" t="s">
        <v>631</v>
      </c>
      <c r="J6" s="7" t="s">
        <v>634</v>
      </c>
      <c r="K6" s="7" t="s">
        <v>635</v>
      </c>
      <c r="L6" s="7" t="s">
        <v>636</v>
      </c>
      <c r="M6" s="7" t="s">
        <v>637</v>
      </c>
    </row>
    <row r="7" customFormat="false" ht="15" hidden="false" customHeight="false" outlineLevel="0" collapsed="false">
      <c r="A7" s="6" t="s">
        <v>638</v>
      </c>
      <c r="B7" s="7" t="s">
        <v>639</v>
      </c>
      <c r="C7" s="7" t="s">
        <v>640</v>
      </c>
      <c r="D7" s="7" t="s">
        <v>641</v>
      </c>
      <c r="E7" s="7" t="s">
        <v>642</v>
      </c>
      <c r="F7" s="7" t="s">
        <v>643</v>
      </c>
      <c r="G7" s="7" t="s">
        <v>644</v>
      </c>
      <c r="H7" s="7" t="s">
        <v>635</v>
      </c>
      <c r="I7" s="7" t="s">
        <v>645</v>
      </c>
      <c r="J7" s="7" t="s">
        <v>646</v>
      </c>
      <c r="K7" s="7" t="s">
        <v>644</v>
      </c>
      <c r="L7" s="7" t="s">
        <v>647</v>
      </c>
      <c r="M7" s="7" t="s">
        <v>648</v>
      </c>
    </row>
    <row r="8" customFormat="false" ht="15" hidden="false" customHeight="false" outlineLevel="0" collapsed="false">
      <c r="A8" s="6" t="s">
        <v>649</v>
      </c>
      <c r="B8" s="7" t="s">
        <v>420</v>
      </c>
      <c r="C8" s="7" t="s">
        <v>650</v>
      </c>
      <c r="D8" s="7" t="s">
        <v>651</v>
      </c>
      <c r="E8" s="7" t="s">
        <v>652</v>
      </c>
      <c r="F8" s="7" t="s">
        <v>433</v>
      </c>
      <c r="G8" s="7" t="s">
        <v>653</v>
      </c>
      <c r="H8" s="7" t="s">
        <v>654</v>
      </c>
      <c r="I8" s="7" t="s">
        <v>655</v>
      </c>
      <c r="J8" s="7" t="s">
        <v>656</v>
      </c>
      <c r="K8" s="7" t="s">
        <v>657</v>
      </c>
      <c r="L8" s="7" t="s">
        <v>627</v>
      </c>
      <c r="M8" s="7" t="s">
        <v>658</v>
      </c>
    </row>
    <row r="9" customFormat="false" ht="25.35" hidden="false" customHeight="false" outlineLevel="0" collapsed="false">
      <c r="A9" s="6" t="s">
        <v>659</v>
      </c>
      <c r="B9" s="7" t="s">
        <v>660</v>
      </c>
      <c r="C9" s="7" t="s">
        <v>661</v>
      </c>
      <c r="D9" s="7" t="s">
        <v>661</v>
      </c>
      <c r="E9" s="7" t="s">
        <v>662</v>
      </c>
      <c r="F9" s="7" t="s">
        <v>661</v>
      </c>
      <c r="G9" s="7" t="s">
        <v>661</v>
      </c>
      <c r="H9" s="7" t="s">
        <v>660</v>
      </c>
      <c r="I9" s="7" t="s">
        <v>662</v>
      </c>
      <c r="J9" s="7" t="s">
        <v>661</v>
      </c>
      <c r="K9" s="7" t="s">
        <v>661</v>
      </c>
      <c r="L9" s="7" t="s">
        <v>660</v>
      </c>
      <c r="M9" s="7" t="s">
        <v>661</v>
      </c>
    </row>
    <row r="10" customFormat="false" ht="15" hidden="false" customHeight="false" outlineLevel="0" collapsed="false">
      <c r="A10" s="6" t="s">
        <v>663</v>
      </c>
      <c r="B10" s="7" t="s">
        <v>664</v>
      </c>
      <c r="C10" s="7" t="s">
        <v>665</v>
      </c>
      <c r="D10" s="7" t="s">
        <v>666</v>
      </c>
      <c r="E10" s="7" t="s">
        <v>667</v>
      </c>
      <c r="F10" s="7" t="s">
        <v>668</v>
      </c>
      <c r="G10" s="7" t="s">
        <v>669</v>
      </c>
      <c r="H10" s="7" t="s">
        <v>670</v>
      </c>
      <c r="I10" s="7" t="s">
        <v>671</v>
      </c>
      <c r="J10" s="7" t="s">
        <v>672</v>
      </c>
      <c r="K10" s="7" t="s">
        <v>673</v>
      </c>
      <c r="L10" s="7" t="s">
        <v>674</v>
      </c>
      <c r="M10" s="7" t="s">
        <v>675</v>
      </c>
    </row>
    <row r="11" customFormat="false" ht="15" hidden="false" customHeight="false" outlineLevel="0" collapsed="false">
      <c r="A11" s="6" t="s">
        <v>676</v>
      </c>
      <c r="B11" s="7" t="s">
        <v>677</v>
      </c>
      <c r="C11" s="7" t="s">
        <v>678</v>
      </c>
      <c r="D11" s="7" t="s">
        <v>679</v>
      </c>
      <c r="E11" s="7" t="s">
        <v>680</v>
      </c>
      <c r="F11" s="7" t="s">
        <v>681</v>
      </c>
      <c r="G11" s="7" t="s">
        <v>682</v>
      </c>
      <c r="H11" s="7" t="s">
        <v>683</v>
      </c>
      <c r="I11" s="7" t="s">
        <v>684</v>
      </c>
      <c r="J11" s="7" t="s">
        <v>685</v>
      </c>
      <c r="K11" s="7" t="s">
        <v>686</v>
      </c>
      <c r="L11" s="7" t="s">
        <v>687</v>
      </c>
      <c r="M11" s="7" t="s">
        <v>688</v>
      </c>
    </row>
    <row r="12" customFormat="false" ht="37.3" hidden="false" customHeight="false" outlineLevel="0" collapsed="false">
      <c r="A12" s="6" t="s">
        <v>689</v>
      </c>
      <c r="B12" s="7" t="s">
        <v>690</v>
      </c>
      <c r="C12" s="7" t="s">
        <v>691</v>
      </c>
      <c r="D12" s="7" t="s">
        <v>691</v>
      </c>
      <c r="E12" s="7" t="s">
        <v>691</v>
      </c>
      <c r="F12" s="7" t="s">
        <v>691</v>
      </c>
      <c r="G12" s="7" t="s">
        <v>691</v>
      </c>
      <c r="H12" s="7" t="s">
        <v>690</v>
      </c>
      <c r="I12" s="7" t="s">
        <v>690</v>
      </c>
      <c r="J12" s="7" t="s">
        <v>690</v>
      </c>
      <c r="K12" s="7" t="s">
        <v>691</v>
      </c>
      <c r="L12" s="7" t="s">
        <v>691</v>
      </c>
      <c r="M12" s="7" t="s">
        <v>691</v>
      </c>
    </row>
    <row r="13" customFormat="false" ht="37.3" hidden="false" customHeight="false" outlineLevel="0" collapsed="false">
      <c r="A13" s="6" t="s">
        <v>692</v>
      </c>
      <c r="B13" s="7" t="s">
        <v>691</v>
      </c>
      <c r="C13" s="7" t="s">
        <v>693</v>
      </c>
      <c r="D13" s="7" t="s">
        <v>690</v>
      </c>
      <c r="E13" s="7" t="s">
        <v>690</v>
      </c>
      <c r="F13" s="7" t="s">
        <v>691</v>
      </c>
      <c r="G13" s="7" t="s">
        <v>691</v>
      </c>
      <c r="H13" s="7" t="s">
        <v>691</v>
      </c>
      <c r="I13" s="7" t="s">
        <v>691</v>
      </c>
      <c r="J13" s="7" t="s">
        <v>691</v>
      </c>
      <c r="K13" s="7" t="s">
        <v>694</v>
      </c>
      <c r="L13" s="7" t="s">
        <v>691</v>
      </c>
      <c r="M13" s="7" t="s">
        <v>691</v>
      </c>
    </row>
    <row r="14" customFormat="false" ht="37.3" hidden="false" customHeight="false" outlineLevel="0" collapsed="false">
      <c r="A14" s="6" t="s">
        <v>695</v>
      </c>
      <c r="B14" s="7" t="s">
        <v>694</v>
      </c>
      <c r="C14" s="7" t="s">
        <v>694</v>
      </c>
      <c r="D14" s="7" t="s">
        <v>690</v>
      </c>
      <c r="E14" s="7" t="s">
        <v>694</v>
      </c>
      <c r="F14" s="7" t="s">
        <v>694</v>
      </c>
      <c r="G14" s="7" t="s">
        <v>694</v>
      </c>
      <c r="H14" s="7" t="s">
        <v>691</v>
      </c>
      <c r="I14" s="7" t="s">
        <v>693</v>
      </c>
      <c r="J14" s="7" t="s">
        <v>694</v>
      </c>
      <c r="K14" s="7" t="s">
        <v>694</v>
      </c>
      <c r="L14" s="7" t="s">
        <v>691</v>
      </c>
      <c r="M14" s="7" t="s">
        <v>694</v>
      </c>
    </row>
    <row r="15" customFormat="false" ht="25.35" hidden="false" customHeight="false" outlineLevel="0" collapsed="false">
      <c r="A15" s="6" t="s">
        <v>696</v>
      </c>
      <c r="B15" s="7" t="s">
        <v>694</v>
      </c>
      <c r="C15" s="7" t="s">
        <v>694</v>
      </c>
      <c r="D15" s="7" t="s">
        <v>694</v>
      </c>
      <c r="E15" s="7" t="s">
        <v>694</v>
      </c>
      <c r="F15" s="7" t="s">
        <v>694</v>
      </c>
      <c r="G15" s="7" t="s">
        <v>694</v>
      </c>
      <c r="H15" s="7" t="s">
        <v>694</v>
      </c>
      <c r="I15" s="7" t="s">
        <v>694</v>
      </c>
      <c r="J15" s="7" t="s">
        <v>694</v>
      </c>
      <c r="K15" s="7" t="s">
        <v>694</v>
      </c>
      <c r="L15" s="7" t="s">
        <v>694</v>
      </c>
      <c r="M15" s="7" t="s">
        <v>694</v>
      </c>
    </row>
    <row r="16" customFormat="false" ht="37.3" hidden="false" customHeight="false" outlineLevel="0" collapsed="false">
      <c r="A16" s="6" t="s">
        <v>697</v>
      </c>
      <c r="B16" s="7" t="s">
        <v>691</v>
      </c>
      <c r="C16" s="7" t="s">
        <v>690</v>
      </c>
      <c r="D16" s="7" t="s">
        <v>693</v>
      </c>
      <c r="E16" s="7" t="s">
        <v>694</v>
      </c>
      <c r="F16" s="7" t="s">
        <v>693</v>
      </c>
      <c r="G16" s="7" t="s">
        <v>693</v>
      </c>
      <c r="H16" s="7" t="s">
        <v>694</v>
      </c>
      <c r="I16" s="7" t="s">
        <v>691</v>
      </c>
      <c r="J16" s="7" t="s">
        <v>694</v>
      </c>
      <c r="K16" s="7" t="s">
        <v>693</v>
      </c>
      <c r="L16" s="7" t="s">
        <v>693</v>
      </c>
      <c r="M16" s="7" t="s">
        <v>690</v>
      </c>
    </row>
    <row r="17" customFormat="false" ht="37.3" hidden="false" customHeight="false" outlineLevel="0" collapsed="false">
      <c r="A17" s="6" t="s">
        <v>698</v>
      </c>
      <c r="B17" s="7" t="s">
        <v>694</v>
      </c>
      <c r="C17" s="7" t="s">
        <v>693</v>
      </c>
      <c r="D17" s="7" t="s">
        <v>694</v>
      </c>
      <c r="E17" s="7" t="s">
        <v>690</v>
      </c>
      <c r="F17" s="7" t="s">
        <v>693</v>
      </c>
      <c r="G17" s="7" t="s">
        <v>694</v>
      </c>
      <c r="H17" s="7" t="s">
        <v>691</v>
      </c>
      <c r="I17" s="7" t="s">
        <v>691</v>
      </c>
      <c r="J17" s="7" t="s">
        <v>691</v>
      </c>
      <c r="K17" s="7" t="s">
        <v>694</v>
      </c>
      <c r="L17" s="7" t="s">
        <v>690</v>
      </c>
      <c r="M17" s="7" t="s">
        <v>694</v>
      </c>
    </row>
    <row r="19" customFormat="false" ht="45.75" hidden="false" customHeight="true" outlineLevel="0" collapsed="false">
      <c r="A19" s="9" t="s">
        <v>254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</sheetData>
  <mergeCells count="1"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11" min="8" style="0" width="10"/>
  </cols>
  <sheetData>
    <row r="1" customFormat="false" ht="17.35" hidden="false" customHeight="false" outlineLevel="0" collapsed="false">
      <c r="A1" s="1" t="s">
        <v>699</v>
      </c>
    </row>
    <row r="3" customFormat="false" ht="45.75" hidden="false" customHeight="true" outlineLevel="0" collapsed="false">
      <c r="A3" s="9" t="s">
        <v>700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customFormat="false" ht="15" hidden="false" customHeight="false" outlineLevel="0" collapsed="false">
      <c r="A5" s="11" t="s">
        <v>701</v>
      </c>
    </row>
    <row r="6" customFormat="false" ht="15" hidden="false" customHeight="false" outlineLevel="0" collapsed="false">
      <c r="A6" s="6" t="s">
        <v>702</v>
      </c>
      <c r="B6" s="12" t="n">
        <v>0.2</v>
      </c>
      <c r="C6" s="6" t="s">
        <v>703</v>
      </c>
      <c r="D6" s="12" t="n">
        <v>0.05</v>
      </c>
      <c r="E6" s="6" t="s">
        <v>704</v>
      </c>
      <c r="F6" s="12" t="n">
        <v>60</v>
      </c>
    </row>
    <row r="7" customFormat="false" ht="15" hidden="false" customHeight="false" outlineLevel="0" collapsed="false">
      <c r="A7" s="5" t="s">
        <v>14</v>
      </c>
      <c r="B7" s="5" t="s">
        <v>705</v>
      </c>
      <c r="C7" s="5" t="s">
        <v>706</v>
      </c>
      <c r="D7" s="5" t="s">
        <v>707</v>
      </c>
      <c r="E7" s="5" t="s">
        <v>708</v>
      </c>
      <c r="F7" s="5" t="s">
        <v>709</v>
      </c>
      <c r="G7" s="5" t="s">
        <v>710</v>
      </c>
      <c r="H7" s="5" t="s">
        <v>711</v>
      </c>
      <c r="I7" s="5" t="s">
        <v>712</v>
      </c>
      <c r="J7" s="5" t="s">
        <v>713</v>
      </c>
      <c r="K7" s="5" t="s">
        <v>714</v>
      </c>
    </row>
    <row r="8" customFormat="false" ht="25.35" hidden="false" customHeight="false" outlineLevel="0" collapsed="false">
      <c r="A8" s="6" t="n">
        <v>1</v>
      </c>
      <c r="B8" s="6" t="s">
        <v>715</v>
      </c>
      <c r="C8" s="6" t="s">
        <v>716</v>
      </c>
      <c r="D8" s="12" t="n">
        <v>14</v>
      </c>
      <c r="E8" s="12" t="n">
        <v>18</v>
      </c>
      <c r="F8" s="12" t="n">
        <v>650</v>
      </c>
      <c r="G8" s="12" t="n">
        <v>1</v>
      </c>
      <c r="H8" s="12" t="n">
        <v>0</v>
      </c>
      <c r="I8" s="7" t="s">
        <v>717</v>
      </c>
      <c r="J8" s="13" t="n">
        <f aca="false">IF(I8="X",0,IF(I8="A",0.2*D8,D8))</f>
        <v>2.8</v>
      </c>
      <c r="K8" s="13" t="n">
        <f aca="false">IF(I8="K",E8,0)</f>
        <v>0</v>
      </c>
    </row>
    <row r="9" customFormat="false" ht="15" hidden="false" customHeight="false" outlineLevel="0" collapsed="false">
      <c r="A9" s="6" t="n">
        <v>2</v>
      </c>
      <c r="B9" s="6" t="s">
        <v>718</v>
      </c>
      <c r="C9" s="6" t="s">
        <v>719</v>
      </c>
      <c r="D9" s="12" t="n">
        <v>8</v>
      </c>
      <c r="E9" s="12" t="n">
        <v>71</v>
      </c>
      <c r="F9" s="12" t="n">
        <v>450</v>
      </c>
      <c r="G9" s="12" t="n">
        <v>1</v>
      </c>
      <c r="H9" s="12" t="n">
        <v>0</v>
      </c>
      <c r="I9" s="7" t="s">
        <v>720</v>
      </c>
      <c r="J9" s="13" t="n">
        <f aca="false">IF(I9="X",0,IF(I9="A",0.2*D9,D9))</f>
        <v>0</v>
      </c>
      <c r="K9" s="13" t="n">
        <f aca="false">IF(I9="K",E9,0)</f>
        <v>0</v>
      </c>
    </row>
    <row r="10" customFormat="false" ht="25.35" hidden="false" customHeight="false" outlineLevel="0" collapsed="false">
      <c r="A10" s="6" t="n">
        <v>3</v>
      </c>
      <c r="B10" s="6" t="s">
        <v>721</v>
      </c>
      <c r="C10" s="6" t="s">
        <v>722</v>
      </c>
      <c r="D10" s="12" t="n">
        <v>15</v>
      </c>
      <c r="E10" s="12" t="n">
        <v>45</v>
      </c>
      <c r="F10" s="12" t="n">
        <v>700</v>
      </c>
      <c r="G10" s="12" t="n">
        <v>1</v>
      </c>
      <c r="H10" s="12" t="n">
        <v>0</v>
      </c>
      <c r="I10" s="7" t="s">
        <v>717</v>
      </c>
      <c r="J10" s="13" t="n">
        <f aca="false">IF(I10="X",0,IF(I10="A",0.2*D10,D10))</f>
        <v>3</v>
      </c>
      <c r="K10" s="13" t="n">
        <f aca="false">IF(I10="K",E10,0)</f>
        <v>0</v>
      </c>
    </row>
    <row r="11" customFormat="false" ht="15" hidden="false" customHeight="false" outlineLevel="0" collapsed="false">
      <c r="A11" s="6" t="n">
        <v>4</v>
      </c>
      <c r="B11" s="6" t="s">
        <v>723</v>
      </c>
      <c r="C11" s="6" t="s">
        <v>724</v>
      </c>
      <c r="D11" s="12" t="n">
        <v>6</v>
      </c>
      <c r="E11" s="12" t="n">
        <v>202</v>
      </c>
      <c r="F11" s="12" t="n">
        <v>1600</v>
      </c>
      <c r="G11" s="12" t="n">
        <v>0</v>
      </c>
      <c r="H11" s="12" t="n">
        <v>0</v>
      </c>
      <c r="I11" s="7" t="s">
        <v>720</v>
      </c>
      <c r="J11" s="13" t="n">
        <f aca="false">IF(I11="X",0,IF(I11="A",0.2*D11,D11))</f>
        <v>0</v>
      </c>
      <c r="K11" s="13" t="n">
        <f aca="false">IF(I11="K",E11,0)</f>
        <v>0</v>
      </c>
    </row>
    <row r="12" customFormat="false" ht="15" hidden="false" customHeight="false" outlineLevel="0" collapsed="false">
      <c r="A12" s="6" t="n">
        <v>5</v>
      </c>
      <c r="B12" s="6" t="s">
        <v>725</v>
      </c>
      <c r="C12" s="6" t="s">
        <v>726</v>
      </c>
      <c r="D12" s="12" t="n">
        <v>10</v>
      </c>
      <c r="E12" s="12" t="n">
        <v>29</v>
      </c>
      <c r="F12" s="12" t="n">
        <v>600</v>
      </c>
      <c r="G12" s="12" t="n">
        <v>0</v>
      </c>
      <c r="H12" s="12" t="n">
        <v>0</v>
      </c>
      <c r="I12" s="7" t="s">
        <v>717</v>
      </c>
      <c r="J12" s="13" t="n">
        <f aca="false">IF(I12="X",0,IF(I12="A",0.2*D12,D12))</f>
        <v>2</v>
      </c>
      <c r="K12" s="13" t="n">
        <f aca="false">IF(I12="K",E12,0)</f>
        <v>0</v>
      </c>
    </row>
    <row r="13" customFormat="false" ht="15" hidden="false" customHeight="false" outlineLevel="0" collapsed="false">
      <c r="A13" s="6" t="n">
        <v>6</v>
      </c>
      <c r="B13" s="6" t="s">
        <v>727</v>
      </c>
      <c r="C13" s="6" t="s">
        <v>726</v>
      </c>
      <c r="D13" s="12" t="n">
        <v>4</v>
      </c>
      <c r="E13" s="12" t="n">
        <v>0</v>
      </c>
      <c r="F13" s="12" t="n">
        <v>600</v>
      </c>
      <c r="G13" s="12" t="n">
        <v>0</v>
      </c>
      <c r="H13" s="12" t="n">
        <v>0</v>
      </c>
      <c r="I13" s="7" t="s">
        <v>720</v>
      </c>
      <c r="J13" s="13" t="n">
        <f aca="false">IF(I13="X",0,IF(I13="A",0.2*D13,D13))</f>
        <v>0</v>
      </c>
      <c r="K13" s="13" t="n">
        <f aca="false">IF(I13="K",E13,0)</f>
        <v>0</v>
      </c>
    </row>
    <row r="14" customFormat="false" ht="15" hidden="false" customHeight="false" outlineLevel="0" collapsed="false">
      <c r="A14" s="6" t="n">
        <v>7</v>
      </c>
      <c r="B14" s="6" t="s">
        <v>728</v>
      </c>
      <c r="C14" s="6" t="s">
        <v>729</v>
      </c>
      <c r="D14" s="12" t="n">
        <v>72</v>
      </c>
      <c r="E14" s="12" t="n">
        <v>0</v>
      </c>
      <c r="F14" s="12" t="n">
        <v>750</v>
      </c>
      <c r="G14" s="12" t="n">
        <v>0</v>
      </c>
      <c r="H14" s="12" t="n">
        <v>1</v>
      </c>
      <c r="I14" s="7" t="s">
        <v>730</v>
      </c>
      <c r="J14" s="13" t="n">
        <f aca="false">IF(I14="X",0,IF(I14="A",0.2*D14,D14))</f>
        <v>72</v>
      </c>
      <c r="K14" s="13" t="n">
        <f aca="false">IF(I14="K",E14,0)</f>
        <v>0</v>
      </c>
    </row>
    <row r="15" customFormat="false" ht="15" hidden="false" customHeight="false" outlineLevel="0" collapsed="false">
      <c r="A15" s="6" t="n">
        <v>8</v>
      </c>
      <c r="B15" s="6" t="s">
        <v>731</v>
      </c>
      <c r="C15" s="6" t="s">
        <v>726</v>
      </c>
      <c r="D15" s="12" t="n">
        <v>17</v>
      </c>
      <c r="E15" s="12" t="n">
        <v>133</v>
      </c>
      <c r="F15" s="12" t="n">
        <v>600</v>
      </c>
      <c r="G15" s="12" t="n">
        <v>0</v>
      </c>
      <c r="H15" s="12" t="n">
        <v>0</v>
      </c>
      <c r="I15" s="7" t="s">
        <v>717</v>
      </c>
      <c r="J15" s="13" t="n">
        <f aca="false">IF(I15="X",0,IF(I15="A",0.2*D15,D15))</f>
        <v>3.4</v>
      </c>
      <c r="K15" s="13" t="n">
        <f aca="false">IF(I15="K",E15,0)</f>
        <v>0</v>
      </c>
    </row>
    <row r="16" customFormat="false" ht="15" hidden="false" customHeight="false" outlineLevel="0" collapsed="false">
      <c r="B16" s="8" t="s">
        <v>732</v>
      </c>
      <c r="C16" s="14" t="n">
        <f aca="false">SUM(D8:D15)+SUM(E8:E15)+$B$6*(SUMPRODUCT(G8:G15,D8:D15)+SUMPRODUCT(G8:G15,E8:E15))</f>
        <v>678.2</v>
      </c>
      <c r="D16" s="6" t="s">
        <v>733</v>
      </c>
      <c r="E16" s="13" t="n">
        <v>678.2</v>
      </c>
    </row>
    <row r="17" customFormat="false" ht="15" hidden="false" customHeight="false" outlineLevel="0" collapsed="false">
      <c r="B17" s="8" t="s">
        <v>734</v>
      </c>
      <c r="C17" s="14" t="n">
        <f aca="false">SUMPRODUCT(D8:D15,F8:F15)/60+$B$6*SUMPRODUCT(G8:G15,D8:D15,F8:F15)/60</f>
        <v>1834</v>
      </c>
      <c r="D17" s="6" t="s">
        <v>733</v>
      </c>
      <c r="E17" s="13" t="n">
        <v>1834</v>
      </c>
    </row>
    <row r="18" customFormat="false" ht="15" hidden="false" customHeight="false" outlineLevel="0" collapsed="false">
      <c r="B18" s="8" t="s">
        <v>735</v>
      </c>
      <c r="C18" s="14" t="n">
        <f aca="false">C17*$F$6/1000</f>
        <v>110.04</v>
      </c>
      <c r="D18" s="6" t="s">
        <v>733</v>
      </c>
      <c r="E18" s="13" t="n">
        <v>110.04</v>
      </c>
    </row>
    <row r="19" customFormat="false" ht="15" hidden="false" customHeight="false" outlineLevel="0" collapsed="false">
      <c r="B19" s="8" t="s">
        <v>498</v>
      </c>
      <c r="C19" s="14" t="n">
        <f aca="false">SUMPRODUCT(H8:H15,D8:D15)/C16*100</f>
        <v>10.6163373636096</v>
      </c>
      <c r="D19" s="6" t="s">
        <v>733</v>
      </c>
      <c r="E19" s="13" t="n">
        <v>10.62</v>
      </c>
    </row>
    <row r="20" customFormat="false" ht="15" hidden="false" customHeight="false" outlineLevel="0" collapsed="false">
      <c r="B20" s="8" t="s">
        <v>736</v>
      </c>
      <c r="C20" s="14" t="n">
        <f aca="false">SUM(J8:J15)+SUM(K8:K15)+$D$6*(SUMPRODUCT(G8:G15,J8:J15)+SUMPRODUCT(G8:G15,K8:K15))</f>
        <v>83.49</v>
      </c>
      <c r="D20" s="6" t="s">
        <v>733</v>
      </c>
      <c r="E20" s="13" t="n">
        <v>83.49</v>
      </c>
    </row>
    <row r="21" customFormat="false" ht="15" hidden="false" customHeight="false" outlineLevel="0" collapsed="false">
      <c r="B21" s="8" t="s">
        <v>737</v>
      </c>
      <c r="C21" s="14" t="n">
        <f aca="false">(SUMPRODUCT(J8:J15,F8:F15)/60+$D$6*SUMPRODUCT(G8:G15,J8:J15,F8:F15)/60)*$F$6/1000</f>
        <v>61.356</v>
      </c>
      <c r="D21" s="6" t="s">
        <v>733</v>
      </c>
      <c r="E21" s="13" t="n">
        <v>61.36</v>
      </c>
    </row>
    <row r="22" customFormat="false" ht="15" hidden="false" customHeight="false" outlineLevel="0" collapsed="false">
      <c r="B22" s="8" t="s">
        <v>738</v>
      </c>
      <c r="C22" s="14" t="n">
        <f aca="false">12*(C18-C21)</f>
        <v>584.208</v>
      </c>
      <c r="D22" s="6" t="s">
        <v>733</v>
      </c>
      <c r="E22" s="13" t="n">
        <v>584.21</v>
      </c>
    </row>
    <row r="24" customFormat="false" ht="15" hidden="false" customHeight="false" outlineLevel="0" collapsed="false">
      <c r="A24" s="11" t="s">
        <v>739</v>
      </c>
    </row>
    <row r="25" customFormat="false" ht="15" hidden="false" customHeight="false" outlineLevel="0" collapsed="false">
      <c r="A25" s="6" t="s">
        <v>702</v>
      </c>
      <c r="B25" s="12" t="n">
        <v>0.25</v>
      </c>
      <c r="C25" s="6" t="s">
        <v>703</v>
      </c>
      <c r="D25" s="12" t="n">
        <v>0.05</v>
      </c>
      <c r="E25" s="6" t="s">
        <v>704</v>
      </c>
      <c r="F25" s="12" t="n">
        <v>300</v>
      </c>
    </row>
    <row r="26" customFormat="false" ht="15" hidden="false" customHeight="false" outlineLevel="0" collapsed="false">
      <c r="A26" s="5" t="s">
        <v>14</v>
      </c>
      <c r="B26" s="5" t="s">
        <v>705</v>
      </c>
      <c r="C26" s="5" t="s">
        <v>706</v>
      </c>
      <c r="D26" s="5" t="s">
        <v>707</v>
      </c>
      <c r="E26" s="5" t="s">
        <v>708</v>
      </c>
      <c r="F26" s="5" t="s">
        <v>709</v>
      </c>
      <c r="G26" s="5" t="s">
        <v>710</v>
      </c>
      <c r="H26" s="5" t="s">
        <v>711</v>
      </c>
      <c r="I26" s="5" t="s">
        <v>712</v>
      </c>
      <c r="J26" s="5" t="s">
        <v>713</v>
      </c>
      <c r="K26" s="5" t="s">
        <v>714</v>
      </c>
    </row>
    <row r="27" customFormat="false" ht="25.35" hidden="false" customHeight="false" outlineLevel="0" collapsed="false">
      <c r="A27" s="6" t="n">
        <v>1</v>
      </c>
      <c r="B27" s="6" t="s">
        <v>740</v>
      </c>
      <c r="C27" s="6" t="s">
        <v>716</v>
      </c>
      <c r="D27" s="12" t="n">
        <v>13</v>
      </c>
      <c r="E27" s="12" t="n">
        <v>27</v>
      </c>
      <c r="F27" s="12" t="n">
        <v>650</v>
      </c>
      <c r="G27" s="12" t="n">
        <v>1</v>
      </c>
      <c r="H27" s="12" t="n">
        <v>0</v>
      </c>
      <c r="I27" s="7" t="s">
        <v>717</v>
      </c>
      <c r="J27" s="13" t="n">
        <f aca="false">IF(I27="X",0,IF(I27="A",0.2*D27,D27))</f>
        <v>2.6</v>
      </c>
      <c r="K27" s="13" t="n">
        <f aca="false">IF(I27="K",E27,0)</f>
        <v>0</v>
      </c>
    </row>
    <row r="28" customFormat="false" ht="25.35" hidden="false" customHeight="false" outlineLevel="0" collapsed="false">
      <c r="A28" s="6" t="n">
        <v>2</v>
      </c>
      <c r="B28" s="6" t="s">
        <v>741</v>
      </c>
      <c r="C28" s="6" t="s">
        <v>719</v>
      </c>
      <c r="D28" s="12" t="n">
        <v>10</v>
      </c>
      <c r="E28" s="12" t="n">
        <v>54</v>
      </c>
      <c r="F28" s="12" t="n">
        <v>450</v>
      </c>
      <c r="G28" s="12" t="n">
        <v>1</v>
      </c>
      <c r="H28" s="12" t="n">
        <v>0</v>
      </c>
      <c r="I28" s="7" t="s">
        <v>720</v>
      </c>
      <c r="J28" s="13" t="n">
        <f aca="false">IF(I28="X",0,IF(I28="A",0.2*D28,D28))</f>
        <v>0</v>
      </c>
      <c r="K28" s="13" t="n">
        <f aca="false">IF(I28="K",E28,0)</f>
        <v>0</v>
      </c>
    </row>
    <row r="29" customFormat="false" ht="25.35" hidden="false" customHeight="false" outlineLevel="0" collapsed="false">
      <c r="A29" s="6" t="n">
        <v>3</v>
      </c>
      <c r="B29" s="6" t="s">
        <v>721</v>
      </c>
      <c r="C29" s="6" t="s">
        <v>722</v>
      </c>
      <c r="D29" s="12" t="n">
        <v>12</v>
      </c>
      <c r="E29" s="12" t="n">
        <v>33</v>
      </c>
      <c r="F29" s="12" t="n">
        <v>700</v>
      </c>
      <c r="G29" s="12" t="n">
        <v>1</v>
      </c>
      <c r="H29" s="12" t="n">
        <v>0</v>
      </c>
      <c r="I29" s="7" t="s">
        <v>717</v>
      </c>
      <c r="J29" s="13" t="n">
        <f aca="false">IF(I29="X",0,IF(I29="A",0.2*D29,D29))</f>
        <v>2.4</v>
      </c>
      <c r="K29" s="13" t="n">
        <f aca="false">IF(I29="K",E29,0)</f>
        <v>0</v>
      </c>
    </row>
    <row r="30" customFormat="false" ht="15" hidden="false" customHeight="false" outlineLevel="0" collapsed="false">
      <c r="A30" s="6" t="n">
        <v>4</v>
      </c>
      <c r="B30" s="6" t="s">
        <v>723</v>
      </c>
      <c r="C30" s="6" t="s">
        <v>724</v>
      </c>
      <c r="D30" s="12" t="n">
        <v>5</v>
      </c>
      <c r="E30" s="12" t="n">
        <v>284</v>
      </c>
      <c r="F30" s="12" t="n">
        <v>1600</v>
      </c>
      <c r="G30" s="12" t="n">
        <v>0</v>
      </c>
      <c r="H30" s="12" t="n">
        <v>0</v>
      </c>
      <c r="I30" s="7" t="s">
        <v>720</v>
      </c>
      <c r="J30" s="13" t="n">
        <f aca="false">IF(I30="X",0,IF(I30="A",0.2*D30,D30))</f>
        <v>0</v>
      </c>
      <c r="K30" s="13" t="n">
        <f aca="false">IF(I30="K",E30,0)</f>
        <v>0</v>
      </c>
    </row>
    <row r="31" customFormat="false" ht="15" hidden="false" customHeight="false" outlineLevel="0" collapsed="false">
      <c r="A31" s="6" t="n">
        <v>5</v>
      </c>
      <c r="B31" s="6" t="s">
        <v>725</v>
      </c>
      <c r="C31" s="6" t="s">
        <v>726</v>
      </c>
      <c r="D31" s="12" t="n">
        <v>10</v>
      </c>
      <c r="E31" s="12" t="n">
        <v>36</v>
      </c>
      <c r="F31" s="12" t="n">
        <v>600</v>
      </c>
      <c r="G31" s="12" t="n">
        <v>0</v>
      </c>
      <c r="H31" s="12" t="n">
        <v>0</v>
      </c>
      <c r="I31" s="7" t="s">
        <v>717</v>
      </c>
      <c r="J31" s="13" t="n">
        <f aca="false">IF(I31="X",0,IF(I31="A",0.2*D31,D31))</f>
        <v>2</v>
      </c>
      <c r="K31" s="13" t="n">
        <f aca="false">IF(I31="K",E31,0)</f>
        <v>0</v>
      </c>
    </row>
    <row r="32" customFormat="false" ht="15" hidden="false" customHeight="false" outlineLevel="0" collapsed="false">
      <c r="A32" s="6" t="n">
        <v>6</v>
      </c>
      <c r="B32" s="6" t="s">
        <v>727</v>
      </c>
      <c r="C32" s="6" t="s">
        <v>726</v>
      </c>
      <c r="D32" s="12" t="n">
        <v>4</v>
      </c>
      <c r="E32" s="12" t="n">
        <v>0</v>
      </c>
      <c r="F32" s="12" t="n">
        <v>600</v>
      </c>
      <c r="G32" s="12" t="n">
        <v>0</v>
      </c>
      <c r="H32" s="12" t="n">
        <v>0</v>
      </c>
      <c r="I32" s="7" t="s">
        <v>720</v>
      </c>
      <c r="J32" s="13" t="n">
        <f aca="false">IF(I32="X",0,IF(I32="A",0.2*D32,D32))</f>
        <v>0</v>
      </c>
      <c r="K32" s="13" t="n">
        <f aca="false">IF(I32="K",E32,0)</f>
        <v>0</v>
      </c>
    </row>
    <row r="33" customFormat="false" ht="15" hidden="false" customHeight="false" outlineLevel="0" collapsed="false">
      <c r="A33" s="6" t="n">
        <v>7</v>
      </c>
      <c r="B33" s="6" t="s">
        <v>742</v>
      </c>
      <c r="C33" s="6" t="s">
        <v>729</v>
      </c>
      <c r="D33" s="12" t="n">
        <v>53</v>
      </c>
      <c r="E33" s="12" t="n">
        <v>0</v>
      </c>
      <c r="F33" s="12" t="n">
        <v>750</v>
      </c>
      <c r="G33" s="12" t="n">
        <v>0</v>
      </c>
      <c r="H33" s="12" t="n">
        <v>1</v>
      </c>
      <c r="I33" s="7" t="s">
        <v>730</v>
      </c>
      <c r="J33" s="13" t="n">
        <f aca="false">IF(I33="X",0,IF(I33="A",0.2*D33,D33))</f>
        <v>53</v>
      </c>
      <c r="K33" s="13" t="n">
        <f aca="false">IF(I33="K",E33,0)</f>
        <v>0</v>
      </c>
    </row>
    <row r="34" customFormat="false" ht="15" hidden="false" customHeight="false" outlineLevel="0" collapsed="false">
      <c r="A34" s="6" t="n">
        <v>8</v>
      </c>
      <c r="B34" s="6" t="s">
        <v>731</v>
      </c>
      <c r="C34" s="6" t="s">
        <v>726</v>
      </c>
      <c r="D34" s="12" t="n">
        <v>12</v>
      </c>
      <c r="E34" s="12" t="n">
        <v>108</v>
      </c>
      <c r="F34" s="12" t="n">
        <v>600</v>
      </c>
      <c r="G34" s="12" t="n">
        <v>0</v>
      </c>
      <c r="H34" s="12" t="n">
        <v>0</v>
      </c>
      <c r="I34" s="7" t="s">
        <v>717</v>
      </c>
      <c r="J34" s="13" t="n">
        <f aca="false">IF(I34="X",0,IF(I34="A",0.2*D34,D34))</f>
        <v>2.4</v>
      </c>
      <c r="K34" s="13" t="n">
        <f aca="false">IF(I34="K",E34,0)</f>
        <v>0</v>
      </c>
    </row>
    <row r="35" customFormat="false" ht="15" hidden="false" customHeight="false" outlineLevel="0" collapsed="false">
      <c r="B35" s="8" t="s">
        <v>732</v>
      </c>
      <c r="C35" s="14" t="n">
        <f aca="false">SUM(D27:D34)+SUM(E27:E34)+$B$25*(SUMPRODUCT(G27:G34,D27:D34)+SUMPRODUCT(G27:G34,E27:E34))</f>
        <v>698.25</v>
      </c>
      <c r="D35" s="6" t="s">
        <v>733</v>
      </c>
      <c r="E35" s="13" t="n">
        <v>698.25</v>
      </c>
    </row>
    <row r="36" customFormat="false" ht="15" hidden="false" customHeight="false" outlineLevel="0" collapsed="false">
      <c r="B36" s="8" t="s">
        <v>734</v>
      </c>
      <c r="C36" s="14" t="n">
        <f aca="false">SUMPRODUCT(D27:D34,F27:F34)/60+$B$25*SUMPRODUCT(G27:G34,D27:D34,F27:F34)/60</f>
        <v>1500.625</v>
      </c>
      <c r="D36" s="6" t="s">
        <v>733</v>
      </c>
      <c r="E36" s="13" t="n">
        <v>1500.62</v>
      </c>
    </row>
    <row r="37" customFormat="false" ht="15" hidden="false" customHeight="false" outlineLevel="0" collapsed="false">
      <c r="B37" s="8" t="s">
        <v>735</v>
      </c>
      <c r="C37" s="14" t="n">
        <f aca="false">C36*$F$25/1000</f>
        <v>450.1875</v>
      </c>
      <c r="D37" s="6" t="s">
        <v>733</v>
      </c>
      <c r="E37" s="13" t="n">
        <v>450.19</v>
      </c>
    </row>
    <row r="38" customFormat="false" ht="15" hidden="false" customHeight="false" outlineLevel="0" collapsed="false">
      <c r="B38" s="8" t="s">
        <v>498</v>
      </c>
      <c r="C38" s="14" t="n">
        <f aca="false">SUMPRODUCT(H27:H34,D27:D34)/C35*100</f>
        <v>7.59040458288579</v>
      </c>
      <c r="D38" s="6" t="s">
        <v>733</v>
      </c>
      <c r="E38" s="13" t="n">
        <v>7.59</v>
      </c>
    </row>
    <row r="39" customFormat="false" ht="15" hidden="false" customHeight="false" outlineLevel="0" collapsed="false">
      <c r="B39" s="8" t="s">
        <v>736</v>
      </c>
      <c r="C39" s="14" t="n">
        <f aca="false">SUM(J27:J34)+SUM(K27:K34)+$D$25*(SUMPRODUCT(G27:G34,J27:J34)+SUMPRODUCT(G27:G34,K27:K34))</f>
        <v>62.65</v>
      </c>
      <c r="D39" s="6" t="s">
        <v>733</v>
      </c>
      <c r="E39" s="13" t="n">
        <v>62.65</v>
      </c>
    </row>
    <row r="40" customFormat="false" ht="15" hidden="false" customHeight="false" outlineLevel="0" collapsed="false">
      <c r="B40" s="8" t="s">
        <v>737</v>
      </c>
      <c r="C40" s="14" t="n">
        <f aca="false">(SUMPRODUCT(J27:J34,F27:F34)/60+$D$25*SUMPRODUCT(G27:G34,J27:J34,F27:F34)/60)*$F$25/1000</f>
        <v>229.6425</v>
      </c>
      <c r="D40" s="6" t="s">
        <v>733</v>
      </c>
      <c r="E40" s="13" t="n">
        <v>229.64</v>
      </c>
    </row>
    <row r="41" customFormat="false" ht="15" hidden="false" customHeight="false" outlineLevel="0" collapsed="false">
      <c r="B41" s="8" t="s">
        <v>738</v>
      </c>
      <c r="C41" s="14" t="n">
        <f aca="false">12*(C37-C40)</f>
        <v>2646.54</v>
      </c>
      <c r="D41" s="6" t="s">
        <v>733</v>
      </c>
      <c r="E41" s="13" t="n">
        <v>2646.54</v>
      </c>
    </row>
    <row r="43" customFormat="false" ht="15" hidden="false" customHeight="false" outlineLevel="0" collapsed="false">
      <c r="A43" s="11" t="s">
        <v>743</v>
      </c>
    </row>
    <row r="44" customFormat="false" ht="15" hidden="false" customHeight="false" outlineLevel="0" collapsed="false">
      <c r="A44" s="6" t="s">
        <v>702</v>
      </c>
      <c r="B44" s="12" t="n">
        <v>0.25</v>
      </c>
      <c r="C44" s="6" t="s">
        <v>703</v>
      </c>
      <c r="D44" s="12" t="n">
        <v>0.05</v>
      </c>
      <c r="E44" s="6" t="s">
        <v>704</v>
      </c>
      <c r="F44" s="12" t="n">
        <v>40</v>
      </c>
    </row>
    <row r="45" customFormat="false" ht="15" hidden="false" customHeight="false" outlineLevel="0" collapsed="false">
      <c r="A45" s="5" t="s">
        <v>14</v>
      </c>
      <c r="B45" s="5" t="s">
        <v>705</v>
      </c>
      <c r="C45" s="5" t="s">
        <v>706</v>
      </c>
      <c r="D45" s="5" t="s">
        <v>707</v>
      </c>
      <c r="E45" s="5" t="s">
        <v>708</v>
      </c>
      <c r="F45" s="5" t="s">
        <v>709</v>
      </c>
      <c r="G45" s="5" t="s">
        <v>710</v>
      </c>
      <c r="H45" s="5" t="s">
        <v>711</v>
      </c>
      <c r="I45" s="5" t="s">
        <v>712</v>
      </c>
      <c r="J45" s="5" t="s">
        <v>713</v>
      </c>
      <c r="K45" s="5" t="s">
        <v>714</v>
      </c>
    </row>
    <row r="46" customFormat="false" ht="25.35" hidden="false" customHeight="false" outlineLevel="0" collapsed="false">
      <c r="A46" s="6" t="n">
        <v>1</v>
      </c>
      <c r="B46" s="6" t="s">
        <v>744</v>
      </c>
      <c r="C46" s="6" t="s">
        <v>716</v>
      </c>
      <c r="D46" s="12" t="n">
        <v>14</v>
      </c>
      <c r="E46" s="12" t="n">
        <v>24</v>
      </c>
      <c r="F46" s="12" t="n">
        <v>650</v>
      </c>
      <c r="G46" s="12" t="n">
        <v>1</v>
      </c>
      <c r="H46" s="12" t="n">
        <v>0</v>
      </c>
      <c r="I46" s="7" t="s">
        <v>717</v>
      </c>
      <c r="J46" s="13" t="n">
        <f aca="false">IF(I46="X",0,IF(I46="A",0.2*D46,D46))</f>
        <v>2.8</v>
      </c>
      <c r="K46" s="13" t="n">
        <f aca="false">IF(I46="K",E46,0)</f>
        <v>0</v>
      </c>
    </row>
    <row r="47" customFormat="false" ht="15" hidden="false" customHeight="false" outlineLevel="0" collapsed="false">
      <c r="A47" s="6" t="n">
        <v>2</v>
      </c>
      <c r="B47" s="6" t="s">
        <v>745</v>
      </c>
      <c r="C47" s="6" t="s">
        <v>719</v>
      </c>
      <c r="D47" s="12" t="n">
        <v>12</v>
      </c>
      <c r="E47" s="12" t="n">
        <v>54</v>
      </c>
      <c r="F47" s="12" t="n">
        <v>450</v>
      </c>
      <c r="G47" s="12" t="n">
        <v>1</v>
      </c>
      <c r="H47" s="12" t="n">
        <v>0</v>
      </c>
      <c r="I47" s="7" t="s">
        <v>720</v>
      </c>
      <c r="J47" s="13" t="n">
        <f aca="false">IF(I47="X",0,IF(I47="A",0.2*D47,D47))</f>
        <v>0</v>
      </c>
      <c r="K47" s="13" t="n">
        <f aca="false">IF(I47="K",E47,0)</f>
        <v>0</v>
      </c>
    </row>
    <row r="48" customFormat="false" ht="25.35" hidden="false" customHeight="false" outlineLevel="0" collapsed="false">
      <c r="A48" s="6" t="n">
        <v>3</v>
      </c>
      <c r="B48" s="6" t="s">
        <v>721</v>
      </c>
      <c r="C48" s="6" t="s">
        <v>722</v>
      </c>
      <c r="D48" s="12" t="n">
        <v>14</v>
      </c>
      <c r="E48" s="12" t="n">
        <v>40</v>
      </c>
      <c r="F48" s="12" t="n">
        <v>700</v>
      </c>
      <c r="G48" s="12" t="n">
        <v>1</v>
      </c>
      <c r="H48" s="12" t="n">
        <v>0</v>
      </c>
      <c r="I48" s="7" t="s">
        <v>717</v>
      </c>
      <c r="J48" s="13" t="n">
        <f aca="false">IF(I48="X",0,IF(I48="A",0.2*D48,D48))</f>
        <v>2.8</v>
      </c>
      <c r="K48" s="13" t="n">
        <f aca="false">IF(I48="K",E48,0)</f>
        <v>0</v>
      </c>
    </row>
    <row r="49" customFormat="false" ht="15" hidden="false" customHeight="false" outlineLevel="0" collapsed="false">
      <c r="A49" s="6" t="n">
        <v>4</v>
      </c>
      <c r="B49" s="6" t="s">
        <v>723</v>
      </c>
      <c r="C49" s="6" t="s">
        <v>724</v>
      </c>
      <c r="D49" s="12" t="n">
        <v>5</v>
      </c>
      <c r="E49" s="12" t="n">
        <v>247</v>
      </c>
      <c r="F49" s="12" t="n">
        <v>1600</v>
      </c>
      <c r="G49" s="12" t="n">
        <v>0</v>
      </c>
      <c r="H49" s="12" t="n">
        <v>0</v>
      </c>
      <c r="I49" s="7" t="s">
        <v>720</v>
      </c>
      <c r="J49" s="13" t="n">
        <f aca="false">IF(I49="X",0,IF(I49="A",0.2*D49,D49))</f>
        <v>0</v>
      </c>
      <c r="K49" s="13" t="n">
        <f aca="false">IF(I49="K",E49,0)</f>
        <v>0</v>
      </c>
    </row>
    <row r="50" customFormat="false" ht="15" hidden="false" customHeight="false" outlineLevel="0" collapsed="false">
      <c r="A50" s="6" t="n">
        <v>5</v>
      </c>
      <c r="B50" s="6" t="s">
        <v>725</v>
      </c>
      <c r="C50" s="6" t="s">
        <v>726</v>
      </c>
      <c r="D50" s="12" t="n">
        <v>11</v>
      </c>
      <c r="E50" s="12" t="n">
        <v>35</v>
      </c>
      <c r="F50" s="12" t="n">
        <v>600</v>
      </c>
      <c r="G50" s="12" t="n">
        <v>0</v>
      </c>
      <c r="H50" s="12" t="n">
        <v>0</v>
      </c>
      <c r="I50" s="7" t="s">
        <v>717</v>
      </c>
      <c r="J50" s="13" t="n">
        <f aca="false">IF(I50="X",0,IF(I50="A",0.2*D50,D50))</f>
        <v>2.2</v>
      </c>
      <c r="K50" s="13" t="n">
        <f aca="false">IF(I50="K",E50,0)</f>
        <v>0</v>
      </c>
    </row>
    <row r="51" customFormat="false" ht="15" hidden="false" customHeight="false" outlineLevel="0" collapsed="false">
      <c r="A51" s="6" t="n">
        <v>6</v>
      </c>
      <c r="B51" s="6" t="s">
        <v>727</v>
      </c>
      <c r="C51" s="6" t="s">
        <v>726</v>
      </c>
      <c r="D51" s="12" t="n">
        <v>3</v>
      </c>
      <c r="E51" s="12" t="n">
        <v>0</v>
      </c>
      <c r="F51" s="12" t="n">
        <v>600</v>
      </c>
      <c r="G51" s="12" t="n">
        <v>0</v>
      </c>
      <c r="H51" s="12" t="n">
        <v>0</v>
      </c>
      <c r="I51" s="7" t="s">
        <v>720</v>
      </c>
      <c r="J51" s="13" t="n">
        <f aca="false">IF(I51="X",0,IF(I51="A",0.2*D51,D51))</f>
        <v>0</v>
      </c>
      <c r="K51" s="13" t="n">
        <f aca="false">IF(I51="K",E51,0)</f>
        <v>0</v>
      </c>
    </row>
    <row r="52" customFormat="false" ht="15" hidden="false" customHeight="false" outlineLevel="0" collapsed="false">
      <c r="A52" s="6" t="n">
        <v>7</v>
      </c>
      <c r="B52" s="6" t="s">
        <v>746</v>
      </c>
      <c r="C52" s="6" t="s">
        <v>729</v>
      </c>
      <c r="D52" s="12" t="n">
        <v>64</v>
      </c>
      <c r="E52" s="12" t="n">
        <v>0</v>
      </c>
      <c r="F52" s="12" t="n">
        <v>750</v>
      </c>
      <c r="G52" s="12" t="n">
        <v>0</v>
      </c>
      <c r="H52" s="12" t="n">
        <v>1</v>
      </c>
      <c r="I52" s="7" t="s">
        <v>730</v>
      </c>
      <c r="J52" s="13" t="n">
        <f aca="false">IF(I52="X",0,IF(I52="A",0.2*D52,D52))</f>
        <v>64</v>
      </c>
      <c r="K52" s="13" t="n">
        <f aca="false">IF(I52="K",E52,0)</f>
        <v>0</v>
      </c>
    </row>
    <row r="53" customFormat="false" ht="15" hidden="false" customHeight="false" outlineLevel="0" collapsed="false">
      <c r="A53" s="6" t="n">
        <v>8</v>
      </c>
      <c r="B53" s="6" t="s">
        <v>731</v>
      </c>
      <c r="C53" s="6" t="s">
        <v>726</v>
      </c>
      <c r="D53" s="12" t="n">
        <v>12</v>
      </c>
      <c r="E53" s="12" t="n">
        <v>149</v>
      </c>
      <c r="F53" s="12" t="n">
        <v>600</v>
      </c>
      <c r="G53" s="12" t="n">
        <v>0</v>
      </c>
      <c r="H53" s="12" t="n">
        <v>0</v>
      </c>
      <c r="I53" s="7" t="s">
        <v>717</v>
      </c>
      <c r="J53" s="13" t="n">
        <f aca="false">IF(I53="X",0,IF(I53="A",0.2*D53,D53))</f>
        <v>2.4</v>
      </c>
      <c r="K53" s="13" t="n">
        <f aca="false">IF(I53="K",E53,0)</f>
        <v>0</v>
      </c>
    </row>
    <row r="54" customFormat="false" ht="15" hidden="false" customHeight="false" outlineLevel="0" collapsed="false">
      <c r="B54" s="8" t="s">
        <v>732</v>
      </c>
      <c r="C54" s="14" t="n">
        <f aca="false">SUM(D46:D53)+SUM(E46:E53)+$B$44*(SUMPRODUCT(G46:G53,D46:D53)+SUMPRODUCT(G46:G53,E46:E53))</f>
        <v>723.5</v>
      </c>
      <c r="D54" s="6" t="s">
        <v>733</v>
      </c>
      <c r="E54" s="13" t="n">
        <v>723.5</v>
      </c>
    </row>
    <row r="55" customFormat="false" ht="15" hidden="false" customHeight="false" outlineLevel="0" collapsed="false">
      <c r="B55" s="8" t="s">
        <v>734</v>
      </c>
      <c r="C55" s="14" t="n">
        <f aca="false">SUMPRODUCT(D46:D53,F46:F53)/60+$B$44*SUMPRODUCT(G46:G53,D46:D53,F46:F53)/60</f>
        <v>1699.58333333333</v>
      </c>
      <c r="D55" s="6" t="s">
        <v>733</v>
      </c>
      <c r="E55" s="13" t="n">
        <v>1699.58</v>
      </c>
    </row>
    <row r="56" customFormat="false" ht="15" hidden="false" customHeight="false" outlineLevel="0" collapsed="false">
      <c r="B56" s="8" t="s">
        <v>735</v>
      </c>
      <c r="C56" s="14" t="n">
        <f aca="false">C55*$F$44/1000</f>
        <v>67.9833333333333</v>
      </c>
      <c r="D56" s="6" t="s">
        <v>733</v>
      </c>
      <c r="E56" s="13" t="n">
        <v>67.98</v>
      </c>
    </row>
    <row r="57" customFormat="false" ht="15" hidden="false" customHeight="false" outlineLevel="0" collapsed="false">
      <c r="B57" s="8" t="s">
        <v>498</v>
      </c>
      <c r="C57" s="14" t="n">
        <f aca="false">SUMPRODUCT(H46:H53,D46:D53)/C54*100</f>
        <v>8.84588804422944</v>
      </c>
      <c r="D57" s="6" t="s">
        <v>733</v>
      </c>
      <c r="E57" s="13" t="n">
        <v>8.85</v>
      </c>
    </row>
    <row r="58" customFormat="false" ht="15" hidden="false" customHeight="false" outlineLevel="0" collapsed="false">
      <c r="B58" s="8" t="s">
        <v>736</v>
      </c>
      <c r="C58" s="14" t="n">
        <f aca="false">SUM(J46:J53)+SUM(K46:K53)+$D$44*(SUMPRODUCT(G46:G53,J46:J53)+SUMPRODUCT(G46:G53,K46:K53))</f>
        <v>74.48</v>
      </c>
      <c r="D58" s="6" t="s">
        <v>733</v>
      </c>
      <c r="E58" s="13" t="n">
        <v>74.48</v>
      </c>
    </row>
    <row r="59" customFormat="false" ht="15" hidden="false" customHeight="false" outlineLevel="0" collapsed="false">
      <c r="B59" s="8" t="s">
        <v>737</v>
      </c>
      <c r="C59" s="14" t="n">
        <f aca="false">(SUMPRODUCT(J46:J53,F46:F53)/60+$D$44*SUMPRODUCT(G46:G53,J46:J53,F46:F53)/60)*$F$44/1000</f>
        <v>36.486</v>
      </c>
      <c r="D59" s="6" t="s">
        <v>733</v>
      </c>
      <c r="E59" s="13" t="n">
        <v>36.49</v>
      </c>
    </row>
    <row r="60" customFormat="false" ht="15" hidden="false" customHeight="false" outlineLevel="0" collapsed="false">
      <c r="B60" s="8" t="s">
        <v>738</v>
      </c>
      <c r="C60" s="14" t="n">
        <f aca="false">12*(C56-C59)</f>
        <v>377.968</v>
      </c>
      <c r="D60" s="6" t="s">
        <v>733</v>
      </c>
      <c r="E60" s="13" t="n">
        <v>377.97</v>
      </c>
    </row>
    <row r="62" customFormat="false" ht="15" hidden="false" customHeight="false" outlineLevel="0" collapsed="false">
      <c r="A62" s="11" t="s">
        <v>747</v>
      </c>
    </row>
    <row r="63" customFormat="false" ht="15" hidden="false" customHeight="false" outlineLevel="0" collapsed="false">
      <c r="A63" s="6" t="s">
        <v>702</v>
      </c>
      <c r="B63" s="12" t="n">
        <v>0.15</v>
      </c>
      <c r="C63" s="6" t="s">
        <v>703</v>
      </c>
      <c r="D63" s="12" t="n">
        <v>0.05</v>
      </c>
      <c r="E63" s="6" t="s">
        <v>704</v>
      </c>
      <c r="F63" s="12" t="n">
        <v>600</v>
      </c>
    </row>
    <row r="64" customFormat="false" ht="15" hidden="false" customHeight="false" outlineLevel="0" collapsed="false">
      <c r="A64" s="5" t="s">
        <v>14</v>
      </c>
      <c r="B64" s="5" t="s">
        <v>705</v>
      </c>
      <c r="C64" s="5" t="s">
        <v>706</v>
      </c>
      <c r="D64" s="5" t="s">
        <v>707</v>
      </c>
      <c r="E64" s="5" t="s">
        <v>708</v>
      </c>
      <c r="F64" s="5" t="s">
        <v>709</v>
      </c>
      <c r="G64" s="5" t="s">
        <v>710</v>
      </c>
      <c r="H64" s="5" t="s">
        <v>711</v>
      </c>
      <c r="I64" s="5" t="s">
        <v>712</v>
      </c>
      <c r="J64" s="5" t="s">
        <v>713</v>
      </c>
      <c r="K64" s="5" t="s">
        <v>714</v>
      </c>
    </row>
    <row r="65" customFormat="false" ht="25.35" hidden="false" customHeight="false" outlineLevel="0" collapsed="false">
      <c r="A65" s="6" t="n">
        <v>1</v>
      </c>
      <c r="B65" s="6" t="s">
        <v>748</v>
      </c>
      <c r="C65" s="6" t="s">
        <v>716</v>
      </c>
      <c r="D65" s="12" t="n">
        <v>10</v>
      </c>
      <c r="E65" s="12" t="n">
        <v>22</v>
      </c>
      <c r="F65" s="12" t="n">
        <v>650</v>
      </c>
      <c r="G65" s="12" t="n">
        <v>1</v>
      </c>
      <c r="H65" s="12" t="n">
        <v>0</v>
      </c>
      <c r="I65" s="7" t="s">
        <v>717</v>
      </c>
      <c r="J65" s="13" t="n">
        <f aca="false">IF(I65="X",0,IF(I65="A",0.2*D65,D65))</f>
        <v>2</v>
      </c>
      <c r="K65" s="13" t="n">
        <f aca="false">IF(I65="K",E65,0)</f>
        <v>0</v>
      </c>
    </row>
    <row r="66" customFormat="false" ht="15" hidden="false" customHeight="false" outlineLevel="0" collapsed="false">
      <c r="A66" s="6" t="n">
        <v>2</v>
      </c>
      <c r="B66" s="6" t="s">
        <v>749</v>
      </c>
      <c r="C66" s="6" t="s">
        <v>719</v>
      </c>
      <c r="D66" s="12" t="n">
        <v>8</v>
      </c>
      <c r="E66" s="12" t="n">
        <v>63</v>
      </c>
      <c r="F66" s="12" t="n">
        <v>450</v>
      </c>
      <c r="G66" s="12" t="n">
        <v>1</v>
      </c>
      <c r="H66" s="12" t="n">
        <v>0</v>
      </c>
      <c r="I66" s="7" t="s">
        <v>720</v>
      </c>
      <c r="J66" s="13" t="n">
        <f aca="false">IF(I66="X",0,IF(I66="A",0.2*D66,D66))</f>
        <v>0</v>
      </c>
      <c r="K66" s="13" t="n">
        <f aca="false">IF(I66="K",E66,0)</f>
        <v>0</v>
      </c>
    </row>
    <row r="67" customFormat="false" ht="25.35" hidden="false" customHeight="false" outlineLevel="0" collapsed="false">
      <c r="A67" s="6" t="n">
        <v>3</v>
      </c>
      <c r="B67" s="6" t="s">
        <v>721</v>
      </c>
      <c r="C67" s="6" t="s">
        <v>722</v>
      </c>
      <c r="D67" s="12" t="n">
        <v>15</v>
      </c>
      <c r="E67" s="12" t="n">
        <v>49</v>
      </c>
      <c r="F67" s="12" t="n">
        <v>700</v>
      </c>
      <c r="G67" s="12" t="n">
        <v>1</v>
      </c>
      <c r="H67" s="12" t="n">
        <v>0</v>
      </c>
      <c r="I67" s="7" t="s">
        <v>717</v>
      </c>
      <c r="J67" s="13" t="n">
        <f aca="false">IF(I67="X",0,IF(I67="A",0.2*D67,D67))</f>
        <v>3</v>
      </c>
      <c r="K67" s="13" t="n">
        <f aca="false">IF(I67="K",E67,0)</f>
        <v>0</v>
      </c>
    </row>
    <row r="68" customFormat="false" ht="15" hidden="false" customHeight="false" outlineLevel="0" collapsed="false">
      <c r="A68" s="6" t="n">
        <v>4</v>
      </c>
      <c r="B68" s="6" t="s">
        <v>723</v>
      </c>
      <c r="C68" s="6" t="s">
        <v>724</v>
      </c>
      <c r="D68" s="12" t="n">
        <v>6</v>
      </c>
      <c r="E68" s="12" t="n">
        <v>309</v>
      </c>
      <c r="F68" s="12" t="n">
        <v>1600</v>
      </c>
      <c r="G68" s="12" t="n">
        <v>0</v>
      </c>
      <c r="H68" s="12" t="n">
        <v>0</v>
      </c>
      <c r="I68" s="7" t="s">
        <v>720</v>
      </c>
      <c r="J68" s="13" t="n">
        <f aca="false">IF(I68="X",0,IF(I68="A",0.2*D68,D68))</f>
        <v>0</v>
      </c>
      <c r="K68" s="13" t="n">
        <f aca="false">IF(I68="K",E68,0)</f>
        <v>0</v>
      </c>
    </row>
    <row r="69" customFormat="false" ht="15" hidden="false" customHeight="false" outlineLevel="0" collapsed="false">
      <c r="A69" s="6" t="n">
        <v>5</v>
      </c>
      <c r="B69" s="6" t="s">
        <v>725</v>
      </c>
      <c r="C69" s="6" t="s">
        <v>726</v>
      </c>
      <c r="D69" s="12" t="n">
        <v>9</v>
      </c>
      <c r="E69" s="12" t="n">
        <v>34</v>
      </c>
      <c r="F69" s="12" t="n">
        <v>600</v>
      </c>
      <c r="G69" s="12" t="n">
        <v>0</v>
      </c>
      <c r="H69" s="12" t="n">
        <v>0</v>
      </c>
      <c r="I69" s="7" t="s">
        <v>717</v>
      </c>
      <c r="J69" s="13" t="n">
        <f aca="false">IF(I69="X",0,IF(I69="A",0.2*D69,D69))</f>
        <v>1.8</v>
      </c>
      <c r="K69" s="13" t="n">
        <f aca="false">IF(I69="K",E69,0)</f>
        <v>0</v>
      </c>
    </row>
    <row r="70" customFormat="false" ht="15" hidden="false" customHeight="false" outlineLevel="0" collapsed="false">
      <c r="A70" s="6" t="n">
        <v>6</v>
      </c>
      <c r="B70" s="6" t="s">
        <v>727</v>
      </c>
      <c r="C70" s="6" t="s">
        <v>726</v>
      </c>
      <c r="D70" s="12" t="n">
        <v>4</v>
      </c>
      <c r="E70" s="12" t="n">
        <v>0</v>
      </c>
      <c r="F70" s="12" t="n">
        <v>600</v>
      </c>
      <c r="G70" s="12" t="n">
        <v>0</v>
      </c>
      <c r="H70" s="12" t="n">
        <v>0</v>
      </c>
      <c r="I70" s="7" t="s">
        <v>720</v>
      </c>
      <c r="J70" s="13" t="n">
        <f aca="false">IF(I70="X",0,IF(I70="A",0.2*D70,D70))</f>
        <v>0</v>
      </c>
      <c r="K70" s="13" t="n">
        <f aca="false">IF(I70="K",E70,0)</f>
        <v>0</v>
      </c>
    </row>
    <row r="71" customFormat="false" ht="15" hidden="false" customHeight="false" outlineLevel="0" collapsed="false">
      <c r="A71" s="6" t="n">
        <v>7</v>
      </c>
      <c r="B71" s="6" t="s">
        <v>750</v>
      </c>
      <c r="C71" s="6" t="s">
        <v>729</v>
      </c>
      <c r="D71" s="12" t="n">
        <v>51</v>
      </c>
      <c r="E71" s="12" t="n">
        <v>0</v>
      </c>
      <c r="F71" s="12" t="n">
        <v>750</v>
      </c>
      <c r="G71" s="12" t="n">
        <v>0</v>
      </c>
      <c r="H71" s="12" t="n">
        <v>1</v>
      </c>
      <c r="I71" s="7" t="s">
        <v>730</v>
      </c>
      <c r="J71" s="13" t="n">
        <f aca="false">IF(I71="X",0,IF(I71="A",0.2*D71,D71))</f>
        <v>51</v>
      </c>
      <c r="K71" s="13" t="n">
        <f aca="false">IF(I71="K",E71,0)</f>
        <v>0</v>
      </c>
    </row>
    <row r="72" customFormat="false" ht="15" hidden="false" customHeight="false" outlineLevel="0" collapsed="false">
      <c r="A72" s="6" t="n">
        <v>8</v>
      </c>
      <c r="B72" s="6" t="s">
        <v>731</v>
      </c>
      <c r="C72" s="6" t="s">
        <v>726</v>
      </c>
      <c r="D72" s="12" t="n">
        <v>15</v>
      </c>
      <c r="E72" s="12" t="n">
        <v>103</v>
      </c>
      <c r="F72" s="12" t="n">
        <v>600</v>
      </c>
      <c r="G72" s="12" t="n">
        <v>0</v>
      </c>
      <c r="H72" s="12" t="n">
        <v>0</v>
      </c>
      <c r="I72" s="7" t="s">
        <v>717</v>
      </c>
      <c r="J72" s="13" t="n">
        <f aca="false">IF(I72="X",0,IF(I72="A",0.2*D72,D72))</f>
        <v>3</v>
      </c>
      <c r="K72" s="13" t="n">
        <f aca="false">IF(I72="K",E72,0)</f>
        <v>0</v>
      </c>
    </row>
    <row r="73" customFormat="false" ht="15" hidden="false" customHeight="false" outlineLevel="0" collapsed="false">
      <c r="B73" s="8" t="s">
        <v>732</v>
      </c>
      <c r="C73" s="14" t="n">
        <f aca="false">SUM(D65:D72)+SUM(E65:E72)+$B$63*(SUMPRODUCT(G65:G72,D65:D72)+SUMPRODUCT(G65:G72,E65:E72))</f>
        <v>723.05</v>
      </c>
      <c r="D73" s="6" t="s">
        <v>733</v>
      </c>
      <c r="E73" s="13" t="n">
        <v>723.05</v>
      </c>
    </row>
    <row r="74" customFormat="false" ht="15" hidden="false" customHeight="false" outlineLevel="0" collapsed="false">
      <c r="B74" s="8" t="s">
        <v>734</v>
      </c>
      <c r="C74" s="14" t="n">
        <f aca="false">SUMPRODUCT(D65:D72,F65:F72)/60+$B$63*SUMPRODUCT(G65:G72,D65:D72,F65:F72)/60</f>
        <v>1472.33333333333</v>
      </c>
      <c r="D74" s="6" t="s">
        <v>733</v>
      </c>
      <c r="E74" s="13" t="n">
        <v>1472.33</v>
      </c>
    </row>
    <row r="75" customFormat="false" ht="15" hidden="false" customHeight="false" outlineLevel="0" collapsed="false">
      <c r="B75" s="8" t="s">
        <v>735</v>
      </c>
      <c r="C75" s="14" t="n">
        <f aca="false">C74*$F$63/1000</f>
        <v>883.4</v>
      </c>
      <c r="D75" s="6" t="s">
        <v>733</v>
      </c>
      <c r="E75" s="13" t="n">
        <v>883.4</v>
      </c>
    </row>
    <row r="76" customFormat="false" ht="15" hidden="false" customHeight="false" outlineLevel="0" collapsed="false">
      <c r="B76" s="8" t="s">
        <v>498</v>
      </c>
      <c r="C76" s="14" t="n">
        <f aca="false">SUMPRODUCT(H65:H72,D65:D72)/C73*100</f>
        <v>7.05345411797248</v>
      </c>
      <c r="D76" s="6" t="s">
        <v>733</v>
      </c>
      <c r="E76" s="13" t="n">
        <v>7.05</v>
      </c>
    </row>
    <row r="77" customFormat="false" ht="15" hidden="false" customHeight="false" outlineLevel="0" collapsed="false">
      <c r="B77" s="8" t="s">
        <v>736</v>
      </c>
      <c r="C77" s="14" t="n">
        <f aca="false">SUM(J65:J72)+SUM(K65:K72)+$D$63*(SUMPRODUCT(G65:G72,J65:J72)+SUMPRODUCT(G65:G72,K65:K72))</f>
        <v>61.05</v>
      </c>
      <c r="D77" s="6" t="s">
        <v>733</v>
      </c>
      <c r="E77" s="13" t="n">
        <v>61.05</v>
      </c>
    </row>
    <row r="78" customFormat="false" ht="15" hidden="false" customHeight="false" outlineLevel="0" collapsed="false">
      <c r="B78" s="8" t="s">
        <v>737</v>
      </c>
      <c r="C78" s="14" t="n">
        <f aca="false">(SUMPRODUCT(J65:J72,F65:F72)/60+$D$63*SUMPRODUCT(G65:G72,J65:J72,F65:F72)/60)*$F$63/1000</f>
        <v>447</v>
      </c>
      <c r="D78" s="6" t="s">
        <v>733</v>
      </c>
      <c r="E78" s="13" t="n">
        <v>447</v>
      </c>
    </row>
    <row r="79" customFormat="false" ht="15" hidden="false" customHeight="false" outlineLevel="0" collapsed="false">
      <c r="B79" s="8" t="s">
        <v>738</v>
      </c>
      <c r="C79" s="14" t="n">
        <f aca="false">12*(C75-C78)</f>
        <v>5236.8</v>
      </c>
      <c r="D79" s="6" t="s">
        <v>733</v>
      </c>
      <c r="E79" s="13" t="n">
        <v>5236.8</v>
      </c>
    </row>
    <row r="81" customFormat="false" ht="15" hidden="false" customHeight="false" outlineLevel="0" collapsed="false">
      <c r="A81" s="11" t="s">
        <v>751</v>
      </c>
    </row>
    <row r="82" customFormat="false" ht="15" hidden="false" customHeight="false" outlineLevel="0" collapsed="false">
      <c r="A82" s="6" t="s">
        <v>702</v>
      </c>
      <c r="B82" s="12" t="n">
        <v>0.25</v>
      </c>
      <c r="C82" s="6" t="s">
        <v>703</v>
      </c>
      <c r="D82" s="12" t="n">
        <v>0.05</v>
      </c>
      <c r="E82" s="6" t="s">
        <v>704</v>
      </c>
      <c r="F82" s="12" t="n">
        <v>800</v>
      </c>
    </row>
    <row r="83" customFormat="false" ht="15" hidden="false" customHeight="false" outlineLevel="0" collapsed="false">
      <c r="A83" s="5" t="s">
        <v>14</v>
      </c>
      <c r="B83" s="5" t="s">
        <v>705</v>
      </c>
      <c r="C83" s="5" t="s">
        <v>706</v>
      </c>
      <c r="D83" s="5" t="s">
        <v>707</v>
      </c>
      <c r="E83" s="5" t="s">
        <v>708</v>
      </c>
      <c r="F83" s="5" t="s">
        <v>709</v>
      </c>
      <c r="G83" s="5" t="s">
        <v>710</v>
      </c>
      <c r="H83" s="5" t="s">
        <v>711</v>
      </c>
      <c r="I83" s="5" t="s">
        <v>712</v>
      </c>
      <c r="J83" s="5" t="s">
        <v>713</v>
      </c>
      <c r="K83" s="5" t="s">
        <v>714</v>
      </c>
    </row>
    <row r="84" customFormat="false" ht="25.35" hidden="false" customHeight="false" outlineLevel="0" collapsed="false">
      <c r="A84" s="6" t="n">
        <v>1</v>
      </c>
      <c r="B84" s="6" t="s">
        <v>752</v>
      </c>
      <c r="C84" s="6" t="s">
        <v>716</v>
      </c>
      <c r="D84" s="12" t="n">
        <v>13</v>
      </c>
      <c r="E84" s="12" t="n">
        <v>21</v>
      </c>
      <c r="F84" s="12" t="n">
        <v>650</v>
      </c>
      <c r="G84" s="12" t="n">
        <v>1</v>
      </c>
      <c r="H84" s="12" t="n">
        <v>0</v>
      </c>
      <c r="I84" s="7" t="s">
        <v>717</v>
      </c>
      <c r="J84" s="13" t="n">
        <f aca="false">IF(I84="X",0,IF(I84="A",0.2*D84,D84))</f>
        <v>2.6</v>
      </c>
      <c r="K84" s="13" t="n">
        <f aca="false">IF(I84="K",E84,0)</f>
        <v>0</v>
      </c>
    </row>
    <row r="85" customFormat="false" ht="15" hidden="false" customHeight="false" outlineLevel="0" collapsed="false">
      <c r="A85" s="6" t="n">
        <v>2</v>
      </c>
      <c r="B85" s="6" t="s">
        <v>753</v>
      </c>
      <c r="C85" s="6" t="s">
        <v>719</v>
      </c>
      <c r="D85" s="12" t="n">
        <v>8</v>
      </c>
      <c r="E85" s="12" t="n">
        <v>53</v>
      </c>
      <c r="F85" s="12" t="n">
        <v>450</v>
      </c>
      <c r="G85" s="12" t="n">
        <v>1</v>
      </c>
      <c r="H85" s="12" t="n">
        <v>0</v>
      </c>
      <c r="I85" s="7" t="s">
        <v>720</v>
      </c>
      <c r="J85" s="13" t="n">
        <f aca="false">IF(I85="X",0,IF(I85="A",0.2*D85,D85))</f>
        <v>0</v>
      </c>
      <c r="K85" s="13" t="n">
        <f aca="false">IF(I85="K",E85,0)</f>
        <v>0</v>
      </c>
    </row>
    <row r="86" customFormat="false" ht="25.35" hidden="false" customHeight="false" outlineLevel="0" collapsed="false">
      <c r="A86" s="6" t="n">
        <v>3</v>
      </c>
      <c r="B86" s="6" t="s">
        <v>721</v>
      </c>
      <c r="C86" s="6" t="s">
        <v>722</v>
      </c>
      <c r="D86" s="12" t="n">
        <v>16</v>
      </c>
      <c r="E86" s="12" t="n">
        <v>38</v>
      </c>
      <c r="F86" s="12" t="n">
        <v>700</v>
      </c>
      <c r="G86" s="12" t="n">
        <v>1</v>
      </c>
      <c r="H86" s="12" t="n">
        <v>0</v>
      </c>
      <c r="I86" s="7" t="s">
        <v>717</v>
      </c>
      <c r="J86" s="13" t="n">
        <f aca="false">IF(I86="X",0,IF(I86="A",0.2*D86,D86))</f>
        <v>3.2</v>
      </c>
      <c r="K86" s="13" t="n">
        <f aca="false">IF(I86="K",E86,0)</f>
        <v>0</v>
      </c>
    </row>
    <row r="87" customFormat="false" ht="15" hidden="false" customHeight="false" outlineLevel="0" collapsed="false">
      <c r="A87" s="6" t="n">
        <v>4</v>
      </c>
      <c r="B87" s="6" t="s">
        <v>723</v>
      </c>
      <c r="C87" s="6" t="s">
        <v>724</v>
      </c>
      <c r="D87" s="12" t="n">
        <v>5</v>
      </c>
      <c r="E87" s="12" t="n">
        <v>221</v>
      </c>
      <c r="F87" s="12" t="n">
        <v>1600</v>
      </c>
      <c r="G87" s="12" t="n">
        <v>0</v>
      </c>
      <c r="H87" s="12" t="n">
        <v>0</v>
      </c>
      <c r="I87" s="7" t="s">
        <v>720</v>
      </c>
      <c r="J87" s="13" t="n">
        <f aca="false">IF(I87="X",0,IF(I87="A",0.2*D87,D87))</f>
        <v>0</v>
      </c>
      <c r="K87" s="13" t="n">
        <f aca="false">IF(I87="K",E87,0)</f>
        <v>0</v>
      </c>
    </row>
    <row r="88" customFormat="false" ht="15" hidden="false" customHeight="false" outlineLevel="0" collapsed="false">
      <c r="A88" s="6" t="n">
        <v>5</v>
      </c>
      <c r="B88" s="6" t="s">
        <v>725</v>
      </c>
      <c r="C88" s="6" t="s">
        <v>726</v>
      </c>
      <c r="D88" s="12" t="n">
        <v>9</v>
      </c>
      <c r="E88" s="12" t="n">
        <v>22</v>
      </c>
      <c r="F88" s="12" t="n">
        <v>600</v>
      </c>
      <c r="G88" s="12" t="n">
        <v>0</v>
      </c>
      <c r="H88" s="12" t="n">
        <v>0</v>
      </c>
      <c r="I88" s="7" t="s">
        <v>717</v>
      </c>
      <c r="J88" s="13" t="n">
        <f aca="false">IF(I88="X",0,IF(I88="A",0.2*D88,D88))</f>
        <v>1.8</v>
      </c>
      <c r="K88" s="13" t="n">
        <f aca="false">IF(I88="K",E88,0)</f>
        <v>0</v>
      </c>
    </row>
    <row r="89" customFormat="false" ht="15" hidden="false" customHeight="false" outlineLevel="0" collapsed="false">
      <c r="A89" s="6" t="n">
        <v>6</v>
      </c>
      <c r="B89" s="6" t="s">
        <v>727</v>
      </c>
      <c r="C89" s="6" t="s">
        <v>726</v>
      </c>
      <c r="D89" s="12" t="n">
        <v>5</v>
      </c>
      <c r="E89" s="12" t="n">
        <v>0</v>
      </c>
      <c r="F89" s="12" t="n">
        <v>600</v>
      </c>
      <c r="G89" s="12" t="n">
        <v>0</v>
      </c>
      <c r="H89" s="12" t="n">
        <v>0</v>
      </c>
      <c r="I89" s="7" t="s">
        <v>720</v>
      </c>
      <c r="J89" s="13" t="n">
        <f aca="false">IF(I89="X",0,IF(I89="A",0.2*D89,D89))</f>
        <v>0</v>
      </c>
      <c r="K89" s="13" t="n">
        <f aca="false">IF(I89="K",E89,0)</f>
        <v>0</v>
      </c>
    </row>
    <row r="90" customFormat="false" ht="15" hidden="false" customHeight="false" outlineLevel="0" collapsed="false">
      <c r="A90" s="6" t="n">
        <v>7</v>
      </c>
      <c r="B90" s="6" t="s">
        <v>754</v>
      </c>
      <c r="C90" s="6" t="s">
        <v>729</v>
      </c>
      <c r="D90" s="12" t="n">
        <v>69</v>
      </c>
      <c r="E90" s="12" t="n">
        <v>0</v>
      </c>
      <c r="F90" s="12" t="n">
        <v>750</v>
      </c>
      <c r="G90" s="12" t="n">
        <v>0</v>
      </c>
      <c r="H90" s="12" t="n">
        <v>1</v>
      </c>
      <c r="I90" s="7" t="s">
        <v>730</v>
      </c>
      <c r="J90" s="13" t="n">
        <f aca="false">IF(I90="X",0,IF(I90="A",0.2*D90,D90))</f>
        <v>69</v>
      </c>
      <c r="K90" s="13" t="n">
        <f aca="false">IF(I90="K",E90,0)</f>
        <v>0</v>
      </c>
    </row>
    <row r="91" customFormat="false" ht="15" hidden="false" customHeight="false" outlineLevel="0" collapsed="false">
      <c r="A91" s="6" t="n">
        <v>8</v>
      </c>
      <c r="B91" s="6" t="s">
        <v>731</v>
      </c>
      <c r="C91" s="6" t="s">
        <v>726</v>
      </c>
      <c r="D91" s="12" t="n">
        <v>17</v>
      </c>
      <c r="E91" s="12" t="n">
        <v>109</v>
      </c>
      <c r="F91" s="12" t="n">
        <v>600</v>
      </c>
      <c r="G91" s="12" t="n">
        <v>0</v>
      </c>
      <c r="H91" s="12" t="n">
        <v>0</v>
      </c>
      <c r="I91" s="7" t="s">
        <v>717</v>
      </c>
      <c r="J91" s="13" t="n">
        <f aca="false">IF(I91="X",0,IF(I91="A",0.2*D91,D91))</f>
        <v>3.4</v>
      </c>
      <c r="K91" s="13" t="n">
        <f aca="false">IF(I91="K",E91,0)</f>
        <v>0</v>
      </c>
    </row>
    <row r="92" customFormat="false" ht="15" hidden="false" customHeight="false" outlineLevel="0" collapsed="false">
      <c r="B92" s="8" t="s">
        <v>732</v>
      </c>
      <c r="C92" s="14" t="n">
        <f aca="false">SUM(D84:D91)+SUM(E84:E91)+$B$82*(SUMPRODUCT(G84:G91,D84:D91)+SUMPRODUCT(G84:G91,E84:E91))</f>
        <v>643.25</v>
      </c>
      <c r="D92" s="6" t="s">
        <v>733</v>
      </c>
      <c r="E92" s="13" t="n">
        <v>643.25</v>
      </c>
    </row>
    <row r="93" customFormat="false" ht="15" hidden="false" customHeight="false" outlineLevel="0" collapsed="false">
      <c r="B93" s="8" t="s">
        <v>734</v>
      </c>
      <c r="C93" s="14" t="n">
        <f aca="false">SUMPRODUCT(D84:D91,F84:F91)/60+$B$82*SUMPRODUCT(G84:G91,D84:D91,F84:F91)/60</f>
        <v>1790.20833333333</v>
      </c>
      <c r="D93" s="6" t="s">
        <v>733</v>
      </c>
      <c r="E93" s="13" t="n">
        <v>1790.21</v>
      </c>
    </row>
    <row r="94" customFormat="false" ht="15" hidden="false" customHeight="false" outlineLevel="0" collapsed="false">
      <c r="B94" s="8" t="s">
        <v>735</v>
      </c>
      <c r="C94" s="14" t="n">
        <f aca="false">C93*$F$82/1000</f>
        <v>1432.16666666667</v>
      </c>
      <c r="D94" s="6" t="s">
        <v>733</v>
      </c>
      <c r="E94" s="13" t="n">
        <v>1432.17</v>
      </c>
    </row>
    <row r="95" customFormat="false" ht="15" hidden="false" customHeight="false" outlineLevel="0" collapsed="false">
      <c r="B95" s="8" t="s">
        <v>498</v>
      </c>
      <c r="C95" s="14" t="n">
        <f aca="false">SUMPRODUCT(H84:H91,D84:D91)/C92*100</f>
        <v>10.7267780800622</v>
      </c>
      <c r="D95" s="6" t="s">
        <v>733</v>
      </c>
      <c r="E95" s="13" t="n">
        <v>10.73</v>
      </c>
    </row>
    <row r="96" customFormat="false" ht="15" hidden="false" customHeight="false" outlineLevel="0" collapsed="false">
      <c r="B96" s="8" t="s">
        <v>736</v>
      </c>
      <c r="C96" s="14" t="n">
        <f aca="false">SUM(J84:J91)+SUM(K84:K91)+$D$82*(SUMPRODUCT(G84:G91,J84:J91)+SUMPRODUCT(G84:G91,K84:K91))</f>
        <v>80.29</v>
      </c>
      <c r="D96" s="6" t="s">
        <v>733</v>
      </c>
      <c r="E96" s="13" t="n">
        <v>80.29</v>
      </c>
    </row>
    <row r="97" customFormat="false" ht="15" hidden="false" customHeight="false" outlineLevel="0" collapsed="false">
      <c r="B97" s="8" t="s">
        <v>737</v>
      </c>
      <c r="C97" s="14" t="n">
        <f aca="false">(SUMPRODUCT(J84:J91,F84:F91)/60+$D$82*SUMPRODUCT(G84:G91,J84:J91,F84:F91)/60)*$F$82/1000</f>
        <v>786.62</v>
      </c>
      <c r="D97" s="6" t="s">
        <v>733</v>
      </c>
      <c r="E97" s="13" t="n">
        <v>786.62</v>
      </c>
    </row>
    <row r="98" customFormat="false" ht="15" hidden="false" customHeight="false" outlineLevel="0" collapsed="false">
      <c r="B98" s="8" t="s">
        <v>738</v>
      </c>
      <c r="C98" s="14" t="n">
        <f aca="false">12*(C94-C97)</f>
        <v>7746.56</v>
      </c>
      <c r="D98" s="6" t="s">
        <v>733</v>
      </c>
      <c r="E98" s="13" t="n">
        <v>7746.56</v>
      </c>
    </row>
    <row r="100" customFormat="false" ht="15" hidden="false" customHeight="false" outlineLevel="0" collapsed="false">
      <c r="A100" s="11" t="s">
        <v>755</v>
      </c>
    </row>
    <row r="101" customFormat="false" ht="15" hidden="false" customHeight="false" outlineLevel="0" collapsed="false">
      <c r="A101" s="6" t="s">
        <v>702</v>
      </c>
      <c r="B101" s="12" t="n">
        <v>0.25</v>
      </c>
      <c r="C101" s="6" t="s">
        <v>703</v>
      </c>
      <c r="D101" s="12" t="n">
        <v>0.05</v>
      </c>
      <c r="E101" s="6" t="s">
        <v>704</v>
      </c>
      <c r="F101" s="12" t="n">
        <v>400</v>
      </c>
    </row>
    <row r="102" customFormat="false" ht="15" hidden="false" customHeight="false" outlineLevel="0" collapsed="false">
      <c r="A102" s="5" t="s">
        <v>14</v>
      </c>
      <c r="B102" s="5" t="s">
        <v>705</v>
      </c>
      <c r="C102" s="5" t="s">
        <v>706</v>
      </c>
      <c r="D102" s="5" t="s">
        <v>707</v>
      </c>
      <c r="E102" s="5" t="s">
        <v>708</v>
      </c>
      <c r="F102" s="5" t="s">
        <v>709</v>
      </c>
      <c r="G102" s="5" t="s">
        <v>710</v>
      </c>
      <c r="H102" s="5" t="s">
        <v>711</v>
      </c>
      <c r="I102" s="5" t="s">
        <v>712</v>
      </c>
      <c r="J102" s="5" t="s">
        <v>713</v>
      </c>
      <c r="K102" s="5" t="s">
        <v>714</v>
      </c>
    </row>
    <row r="103" customFormat="false" ht="25.35" hidden="false" customHeight="false" outlineLevel="0" collapsed="false">
      <c r="A103" s="6" t="n">
        <v>1</v>
      </c>
      <c r="B103" s="6" t="s">
        <v>756</v>
      </c>
      <c r="C103" s="6" t="s">
        <v>716</v>
      </c>
      <c r="D103" s="12" t="n">
        <v>13</v>
      </c>
      <c r="E103" s="12" t="n">
        <v>30</v>
      </c>
      <c r="F103" s="12" t="n">
        <v>650</v>
      </c>
      <c r="G103" s="12" t="n">
        <v>1</v>
      </c>
      <c r="H103" s="12" t="n">
        <v>0</v>
      </c>
      <c r="I103" s="7" t="s">
        <v>717</v>
      </c>
      <c r="J103" s="13" t="n">
        <f aca="false">IF(I103="X",0,IF(I103="A",0.2*D103,D103))</f>
        <v>2.6</v>
      </c>
      <c r="K103" s="13" t="n">
        <f aca="false">IF(I103="K",E103,0)</f>
        <v>0</v>
      </c>
    </row>
    <row r="104" customFormat="false" ht="25.35" hidden="false" customHeight="false" outlineLevel="0" collapsed="false">
      <c r="A104" s="6" t="n">
        <v>2</v>
      </c>
      <c r="B104" s="6" t="s">
        <v>757</v>
      </c>
      <c r="C104" s="6" t="s">
        <v>719</v>
      </c>
      <c r="D104" s="12" t="n">
        <v>10</v>
      </c>
      <c r="E104" s="12" t="n">
        <v>68</v>
      </c>
      <c r="F104" s="12" t="n">
        <v>450</v>
      </c>
      <c r="G104" s="12" t="n">
        <v>1</v>
      </c>
      <c r="H104" s="12" t="n">
        <v>0</v>
      </c>
      <c r="I104" s="7" t="s">
        <v>720</v>
      </c>
      <c r="J104" s="13" t="n">
        <f aca="false">IF(I104="X",0,IF(I104="A",0.2*D104,D104))</f>
        <v>0</v>
      </c>
      <c r="K104" s="13" t="n">
        <f aca="false">IF(I104="K",E104,0)</f>
        <v>0</v>
      </c>
    </row>
    <row r="105" customFormat="false" ht="25.35" hidden="false" customHeight="false" outlineLevel="0" collapsed="false">
      <c r="A105" s="6" t="n">
        <v>3</v>
      </c>
      <c r="B105" s="6" t="s">
        <v>721</v>
      </c>
      <c r="C105" s="6" t="s">
        <v>722</v>
      </c>
      <c r="D105" s="12" t="n">
        <v>17</v>
      </c>
      <c r="E105" s="12" t="n">
        <v>40</v>
      </c>
      <c r="F105" s="12" t="n">
        <v>700</v>
      </c>
      <c r="G105" s="12" t="n">
        <v>1</v>
      </c>
      <c r="H105" s="12" t="n">
        <v>0</v>
      </c>
      <c r="I105" s="7" t="s">
        <v>717</v>
      </c>
      <c r="J105" s="13" t="n">
        <f aca="false">IF(I105="X",0,IF(I105="A",0.2*D105,D105))</f>
        <v>3.4</v>
      </c>
      <c r="K105" s="13" t="n">
        <f aca="false">IF(I105="K",E105,0)</f>
        <v>0</v>
      </c>
    </row>
    <row r="106" customFormat="false" ht="15" hidden="false" customHeight="false" outlineLevel="0" collapsed="false">
      <c r="A106" s="6" t="n">
        <v>4</v>
      </c>
      <c r="B106" s="6" t="s">
        <v>723</v>
      </c>
      <c r="C106" s="6" t="s">
        <v>724</v>
      </c>
      <c r="D106" s="12" t="n">
        <v>5</v>
      </c>
      <c r="E106" s="12" t="n">
        <v>250</v>
      </c>
      <c r="F106" s="12" t="n">
        <v>1600</v>
      </c>
      <c r="G106" s="12" t="n">
        <v>0</v>
      </c>
      <c r="H106" s="12" t="n">
        <v>0</v>
      </c>
      <c r="I106" s="7" t="s">
        <v>720</v>
      </c>
      <c r="J106" s="13" t="n">
        <f aca="false">IF(I106="X",0,IF(I106="A",0.2*D106,D106))</f>
        <v>0</v>
      </c>
      <c r="K106" s="13" t="n">
        <f aca="false">IF(I106="K",E106,0)</f>
        <v>0</v>
      </c>
    </row>
    <row r="107" customFormat="false" ht="15" hidden="false" customHeight="false" outlineLevel="0" collapsed="false">
      <c r="A107" s="6" t="n">
        <v>5</v>
      </c>
      <c r="B107" s="6" t="s">
        <v>725</v>
      </c>
      <c r="C107" s="6" t="s">
        <v>726</v>
      </c>
      <c r="D107" s="12" t="n">
        <v>11</v>
      </c>
      <c r="E107" s="12" t="n">
        <v>22</v>
      </c>
      <c r="F107" s="12" t="n">
        <v>600</v>
      </c>
      <c r="G107" s="12" t="n">
        <v>0</v>
      </c>
      <c r="H107" s="12" t="n">
        <v>0</v>
      </c>
      <c r="I107" s="7" t="s">
        <v>717</v>
      </c>
      <c r="J107" s="13" t="n">
        <f aca="false">IF(I107="X",0,IF(I107="A",0.2*D107,D107))</f>
        <v>2.2</v>
      </c>
      <c r="K107" s="13" t="n">
        <f aca="false">IF(I107="K",E107,0)</f>
        <v>0</v>
      </c>
    </row>
    <row r="108" customFormat="false" ht="15" hidden="false" customHeight="false" outlineLevel="0" collapsed="false">
      <c r="A108" s="6" t="n">
        <v>6</v>
      </c>
      <c r="B108" s="6" t="s">
        <v>727</v>
      </c>
      <c r="C108" s="6" t="s">
        <v>726</v>
      </c>
      <c r="D108" s="12" t="n">
        <v>4</v>
      </c>
      <c r="E108" s="12" t="n">
        <v>0</v>
      </c>
      <c r="F108" s="12" t="n">
        <v>600</v>
      </c>
      <c r="G108" s="12" t="n">
        <v>0</v>
      </c>
      <c r="H108" s="12" t="n">
        <v>0</v>
      </c>
      <c r="I108" s="7" t="s">
        <v>720</v>
      </c>
      <c r="J108" s="13" t="n">
        <f aca="false">IF(I108="X",0,IF(I108="A",0.2*D108,D108))</f>
        <v>0</v>
      </c>
      <c r="K108" s="13" t="n">
        <f aca="false">IF(I108="K",E108,0)</f>
        <v>0</v>
      </c>
    </row>
    <row r="109" customFormat="false" ht="15" hidden="false" customHeight="false" outlineLevel="0" collapsed="false">
      <c r="A109" s="6" t="n">
        <v>7</v>
      </c>
      <c r="B109" s="6" t="s">
        <v>758</v>
      </c>
      <c r="C109" s="6" t="s">
        <v>729</v>
      </c>
      <c r="D109" s="12" t="n">
        <v>62</v>
      </c>
      <c r="E109" s="12" t="n">
        <v>0</v>
      </c>
      <c r="F109" s="12" t="n">
        <v>750</v>
      </c>
      <c r="G109" s="12" t="n">
        <v>0</v>
      </c>
      <c r="H109" s="12" t="n">
        <v>1</v>
      </c>
      <c r="I109" s="7" t="s">
        <v>730</v>
      </c>
      <c r="J109" s="13" t="n">
        <f aca="false">IF(I109="X",0,IF(I109="A",0.2*D109,D109))</f>
        <v>62</v>
      </c>
      <c r="K109" s="13" t="n">
        <f aca="false">IF(I109="K",E109,0)</f>
        <v>0</v>
      </c>
    </row>
    <row r="110" customFormat="false" ht="15" hidden="false" customHeight="false" outlineLevel="0" collapsed="false">
      <c r="A110" s="6" t="n">
        <v>8</v>
      </c>
      <c r="B110" s="6" t="s">
        <v>731</v>
      </c>
      <c r="C110" s="6" t="s">
        <v>726</v>
      </c>
      <c r="D110" s="12" t="n">
        <v>18</v>
      </c>
      <c r="E110" s="12" t="n">
        <v>143</v>
      </c>
      <c r="F110" s="12" t="n">
        <v>600</v>
      </c>
      <c r="G110" s="12" t="n">
        <v>0</v>
      </c>
      <c r="H110" s="12" t="n">
        <v>0</v>
      </c>
      <c r="I110" s="7" t="s">
        <v>717</v>
      </c>
      <c r="J110" s="13" t="n">
        <f aca="false">IF(I110="X",0,IF(I110="A",0.2*D110,D110))</f>
        <v>3.6</v>
      </c>
      <c r="K110" s="13" t="n">
        <f aca="false">IF(I110="K",E110,0)</f>
        <v>0</v>
      </c>
    </row>
    <row r="111" customFormat="false" ht="15" hidden="false" customHeight="false" outlineLevel="0" collapsed="false">
      <c r="B111" s="8" t="s">
        <v>732</v>
      </c>
      <c r="C111" s="14" t="n">
        <f aca="false">SUM(D103:D110)+SUM(E103:E110)+$B$101*(SUMPRODUCT(G103:G110,D103:D110)+SUMPRODUCT(G103:G110,E103:E110))</f>
        <v>737.5</v>
      </c>
      <c r="D111" s="6" t="s">
        <v>733</v>
      </c>
      <c r="E111" s="13" t="n">
        <v>737.5</v>
      </c>
    </row>
    <row r="112" customFormat="false" ht="15" hidden="false" customHeight="false" outlineLevel="0" collapsed="false">
      <c r="B112" s="8" t="s">
        <v>734</v>
      </c>
      <c r="C112" s="14" t="n">
        <f aca="false">SUMPRODUCT(D103:D110,F103:F110)/60+$B$101*SUMPRODUCT(G103:G110,D103:D110,F103:F110)/60</f>
        <v>1756.04166666667</v>
      </c>
      <c r="D112" s="6" t="s">
        <v>733</v>
      </c>
      <c r="E112" s="13" t="n">
        <v>1756.04</v>
      </c>
    </row>
    <row r="113" customFormat="false" ht="15" hidden="false" customHeight="false" outlineLevel="0" collapsed="false">
      <c r="B113" s="8" t="s">
        <v>735</v>
      </c>
      <c r="C113" s="14" t="n">
        <f aca="false">C112*$F$101/1000</f>
        <v>702.416666666667</v>
      </c>
      <c r="D113" s="6" t="s">
        <v>733</v>
      </c>
      <c r="E113" s="13" t="n">
        <v>702.42</v>
      </c>
    </row>
    <row r="114" customFormat="false" ht="15" hidden="false" customHeight="false" outlineLevel="0" collapsed="false">
      <c r="B114" s="8" t="s">
        <v>498</v>
      </c>
      <c r="C114" s="14" t="n">
        <f aca="false">SUMPRODUCT(H103:H110,D103:D110)/C111*100</f>
        <v>8.40677966101695</v>
      </c>
      <c r="D114" s="6" t="s">
        <v>733</v>
      </c>
      <c r="E114" s="13" t="n">
        <v>8.41</v>
      </c>
    </row>
    <row r="115" customFormat="false" ht="15" hidden="false" customHeight="false" outlineLevel="0" collapsed="false">
      <c r="B115" s="8" t="s">
        <v>736</v>
      </c>
      <c r="C115" s="14" t="n">
        <f aca="false">SUM(J103:J110)+SUM(K103:K110)+$D$101*(SUMPRODUCT(G103:G110,J103:J110)+SUMPRODUCT(G103:G110,K103:K110))</f>
        <v>74.1</v>
      </c>
      <c r="D115" s="6" t="s">
        <v>733</v>
      </c>
      <c r="E115" s="13" t="n">
        <v>74.1</v>
      </c>
    </row>
    <row r="116" customFormat="false" ht="15" hidden="false" customHeight="false" outlineLevel="0" collapsed="false">
      <c r="B116" s="8" t="s">
        <v>737</v>
      </c>
      <c r="C116" s="14" t="n">
        <f aca="false">(SUMPRODUCT(J103:J110,F103:F110)/60+$D$101*SUMPRODUCT(G103:G110,J103:J110,F103:F110)/60)*$F$101/1000</f>
        <v>361.69</v>
      </c>
      <c r="D116" s="6" t="s">
        <v>733</v>
      </c>
      <c r="E116" s="13" t="n">
        <v>361.69</v>
      </c>
    </row>
    <row r="117" customFormat="false" ht="15" hidden="false" customHeight="false" outlineLevel="0" collapsed="false">
      <c r="B117" s="8" t="s">
        <v>738</v>
      </c>
      <c r="C117" s="14" t="n">
        <f aca="false">12*(C113-C116)</f>
        <v>4088.72</v>
      </c>
      <c r="D117" s="6" t="s">
        <v>733</v>
      </c>
      <c r="E117" s="13" t="n">
        <v>4088.72</v>
      </c>
    </row>
    <row r="119" customFormat="false" ht="15" hidden="false" customHeight="false" outlineLevel="0" collapsed="false">
      <c r="A119" s="11" t="s">
        <v>759</v>
      </c>
    </row>
    <row r="120" customFormat="false" ht="15" hidden="false" customHeight="false" outlineLevel="0" collapsed="false">
      <c r="A120" s="6" t="s">
        <v>702</v>
      </c>
      <c r="B120" s="12" t="n">
        <v>0.25</v>
      </c>
      <c r="C120" s="6" t="s">
        <v>703</v>
      </c>
      <c r="D120" s="12" t="n">
        <v>0.05</v>
      </c>
      <c r="E120" s="6" t="s">
        <v>704</v>
      </c>
      <c r="F120" s="12" t="n">
        <v>120</v>
      </c>
    </row>
    <row r="121" customFormat="false" ht="15" hidden="false" customHeight="false" outlineLevel="0" collapsed="false">
      <c r="A121" s="5" t="s">
        <v>14</v>
      </c>
      <c r="B121" s="5" t="s">
        <v>705</v>
      </c>
      <c r="C121" s="5" t="s">
        <v>706</v>
      </c>
      <c r="D121" s="5" t="s">
        <v>707</v>
      </c>
      <c r="E121" s="5" t="s">
        <v>708</v>
      </c>
      <c r="F121" s="5" t="s">
        <v>709</v>
      </c>
      <c r="G121" s="5" t="s">
        <v>710</v>
      </c>
      <c r="H121" s="5" t="s">
        <v>711</v>
      </c>
      <c r="I121" s="5" t="s">
        <v>712</v>
      </c>
      <c r="J121" s="5" t="s">
        <v>713</v>
      </c>
      <c r="K121" s="5" t="s">
        <v>714</v>
      </c>
    </row>
    <row r="122" customFormat="false" ht="25.35" hidden="false" customHeight="false" outlineLevel="0" collapsed="false">
      <c r="A122" s="6" t="n">
        <v>1</v>
      </c>
      <c r="B122" s="6" t="s">
        <v>760</v>
      </c>
      <c r="C122" s="6" t="s">
        <v>716</v>
      </c>
      <c r="D122" s="12" t="n">
        <v>14</v>
      </c>
      <c r="E122" s="12" t="n">
        <v>18</v>
      </c>
      <c r="F122" s="12" t="n">
        <v>650</v>
      </c>
      <c r="G122" s="12" t="n">
        <v>1</v>
      </c>
      <c r="H122" s="12" t="n">
        <v>0</v>
      </c>
      <c r="I122" s="7" t="s">
        <v>717</v>
      </c>
      <c r="J122" s="13" t="n">
        <f aca="false">IF(I122="X",0,IF(I122="A",0.2*D122,D122))</f>
        <v>2.8</v>
      </c>
      <c r="K122" s="13" t="n">
        <f aca="false">IF(I122="K",E122,0)</f>
        <v>0</v>
      </c>
    </row>
    <row r="123" customFormat="false" ht="15" hidden="false" customHeight="false" outlineLevel="0" collapsed="false">
      <c r="A123" s="6" t="n">
        <v>2</v>
      </c>
      <c r="B123" s="6" t="s">
        <v>761</v>
      </c>
      <c r="C123" s="6" t="s">
        <v>719</v>
      </c>
      <c r="D123" s="12" t="n">
        <v>8</v>
      </c>
      <c r="E123" s="12" t="n">
        <v>54</v>
      </c>
      <c r="F123" s="12" t="n">
        <v>450</v>
      </c>
      <c r="G123" s="12" t="n">
        <v>1</v>
      </c>
      <c r="H123" s="12" t="n">
        <v>0</v>
      </c>
      <c r="I123" s="7" t="s">
        <v>720</v>
      </c>
      <c r="J123" s="13" t="n">
        <f aca="false">IF(I123="X",0,IF(I123="A",0.2*D123,D123))</f>
        <v>0</v>
      </c>
      <c r="K123" s="13" t="n">
        <f aca="false">IF(I123="K",E123,0)</f>
        <v>0</v>
      </c>
    </row>
    <row r="124" customFormat="false" ht="25.35" hidden="false" customHeight="false" outlineLevel="0" collapsed="false">
      <c r="A124" s="6" t="n">
        <v>3</v>
      </c>
      <c r="B124" s="6" t="s">
        <v>721</v>
      </c>
      <c r="C124" s="6" t="s">
        <v>722</v>
      </c>
      <c r="D124" s="12" t="n">
        <v>18</v>
      </c>
      <c r="E124" s="12" t="n">
        <v>46</v>
      </c>
      <c r="F124" s="12" t="n">
        <v>700</v>
      </c>
      <c r="G124" s="12" t="n">
        <v>1</v>
      </c>
      <c r="H124" s="12" t="n">
        <v>0</v>
      </c>
      <c r="I124" s="7" t="s">
        <v>717</v>
      </c>
      <c r="J124" s="13" t="n">
        <f aca="false">IF(I124="X",0,IF(I124="A",0.2*D124,D124))</f>
        <v>3.6</v>
      </c>
      <c r="K124" s="13" t="n">
        <f aca="false">IF(I124="K",E124,0)</f>
        <v>0</v>
      </c>
    </row>
    <row r="125" customFormat="false" ht="15" hidden="false" customHeight="false" outlineLevel="0" collapsed="false">
      <c r="A125" s="6" t="n">
        <v>4</v>
      </c>
      <c r="B125" s="6" t="s">
        <v>723</v>
      </c>
      <c r="C125" s="6" t="s">
        <v>724</v>
      </c>
      <c r="D125" s="12" t="n">
        <v>5</v>
      </c>
      <c r="E125" s="12" t="n">
        <v>264</v>
      </c>
      <c r="F125" s="12" t="n">
        <v>1600</v>
      </c>
      <c r="G125" s="12" t="n">
        <v>0</v>
      </c>
      <c r="H125" s="12" t="n">
        <v>0</v>
      </c>
      <c r="I125" s="7" t="s">
        <v>720</v>
      </c>
      <c r="J125" s="13" t="n">
        <f aca="false">IF(I125="X",0,IF(I125="A",0.2*D125,D125))</f>
        <v>0</v>
      </c>
      <c r="K125" s="13" t="n">
        <f aca="false">IF(I125="K",E125,0)</f>
        <v>0</v>
      </c>
    </row>
    <row r="126" customFormat="false" ht="15" hidden="false" customHeight="false" outlineLevel="0" collapsed="false">
      <c r="A126" s="6" t="n">
        <v>5</v>
      </c>
      <c r="B126" s="6" t="s">
        <v>725</v>
      </c>
      <c r="C126" s="6" t="s">
        <v>726</v>
      </c>
      <c r="D126" s="12" t="n">
        <v>9</v>
      </c>
      <c r="E126" s="12" t="n">
        <v>27</v>
      </c>
      <c r="F126" s="12" t="n">
        <v>600</v>
      </c>
      <c r="G126" s="12" t="n">
        <v>0</v>
      </c>
      <c r="H126" s="12" t="n">
        <v>0</v>
      </c>
      <c r="I126" s="7" t="s">
        <v>717</v>
      </c>
      <c r="J126" s="13" t="n">
        <f aca="false">IF(I126="X",0,IF(I126="A",0.2*D126,D126))</f>
        <v>1.8</v>
      </c>
      <c r="K126" s="13" t="n">
        <f aca="false">IF(I126="K",E126,0)</f>
        <v>0</v>
      </c>
    </row>
    <row r="127" customFormat="false" ht="15" hidden="false" customHeight="false" outlineLevel="0" collapsed="false">
      <c r="A127" s="6" t="n">
        <v>6</v>
      </c>
      <c r="B127" s="6" t="s">
        <v>727</v>
      </c>
      <c r="C127" s="6" t="s">
        <v>726</v>
      </c>
      <c r="D127" s="12" t="n">
        <v>3</v>
      </c>
      <c r="E127" s="12" t="n">
        <v>0</v>
      </c>
      <c r="F127" s="12" t="n">
        <v>600</v>
      </c>
      <c r="G127" s="12" t="n">
        <v>0</v>
      </c>
      <c r="H127" s="12" t="n">
        <v>0</v>
      </c>
      <c r="I127" s="7" t="s">
        <v>720</v>
      </c>
      <c r="J127" s="13" t="n">
        <f aca="false">IF(I127="X",0,IF(I127="A",0.2*D127,D127))</f>
        <v>0</v>
      </c>
      <c r="K127" s="13" t="n">
        <f aca="false">IF(I127="K",E127,0)</f>
        <v>0</v>
      </c>
    </row>
    <row r="128" customFormat="false" ht="15" hidden="false" customHeight="false" outlineLevel="0" collapsed="false">
      <c r="A128" s="6" t="n">
        <v>7</v>
      </c>
      <c r="B128" s="6" t="s">
        <v>762</v>
      </c>
      <c r="C128" s="6" t="s">
        <v>729</v>
      </c>
      <c r="D128" s="12" t="n">
        <v>63</v>
      </c>
      <c r="E128" s="12" t="n">
        <v>0</v>
      </c>
      <c r="F128" s="12" t="n">
        <v>750</v>
      </c>
      <c r="G128" s="12" t="n">
        <v>0</v>
      </c>
      <c r="H128" s="12" t="n">
        <v>1</v>
      </c>
      <c r="I128" s="7" t="s">
        <v>730</v>
      </c>
      <c r="J128" s="13" t="n">
        <f aca="false">IF(I128="X",0,IF(I128="A",0.2*D128,D128))</f>
        <v>63</v>
      </c>
      <c r="K128" s="13" t="n">
        <f aca="false">IF(I128="K",E128,0)</f>
        <v>0</v>
      </c>
    </row>
    <row r="129" customFormat="false" ht="15" hidden="false" customHeight="false" outlineLevel="0" collapsed="false">
      <c r="A129" s="6" t="n">
        <v>8</v>
      </c>
      <c r="B129" s="6" t="s">
        <v>731</v>
      </c>
      <c r="C129" s="6" t="s">
        <v>726</v>
      </c>
      <c r="D129" s="12" t="n">
        <v>16</v>
      </c>
      <c r="E129" s="12" t="n">
        <v>122</v>
      </c>
      <c r="F129" s="12" t="n">
        <v>600</v>
      </c>
      <c r="G129" s="12" t="n">
        <v>0</v>
      </c>
      <c r="H129" s="12" t="n">
        <v>0</v>
      </c>
      <c r="I129" s="7" t="s">
        <v>717</v>
      </c>
      <c r="J129" s="13" t="n">
        <f aca="false">IF(I129="X",0,IF(I129="A",0.2*D129,D129))</f>
        <v>3.2</v>
      </c>
      <c r="K129" s="13" t="n">
        <f aca="false">IF(I129="K",E129,0)</f>
        <v>0</v>
      </c>
    </row>
    <row r="130" customFormat="false" ht="15" hidden="false" customHeight="false" outlineLevel="0" collapsed="false">
      <c r="B130" s="8" t="s">
        <v>732</v>
      </c>
      <c r="C130" s="14" t="n">
        <f aca="false">SUM(D122:D129)+SUM(E122:E129)+$B$120*(SUMPRODUCT(G122:G129,D122:D129)+SUMPRODUCT(G122:G129,E122:E129))</f>
        <v>706.5</v>
      </c>
      <c r="D130" s="6" t="s">
        <v>733</v>
      </c>
      <c r="E130" s="13" t="n">
        <v>706.5</v>
      </c>
    </row>
    <row r="131" customFormat="false" ht="15" hidden="false" customHeight="false" outlineLevel="0" collapsed="false">
      <c r="B131" s="8" t="s">
        <v>734</v>
      </c>
      <c r="C131" s="14" t="n">
        <f aca="false">SUMPRODUCT(D122:D129,F122:F129)/60+$B$120*SUMPRODUCT(G122:G129,D122:D129,F122:F129)/60</f>
        <v>1727.91666666667</v>
      </c>
      <c r="D131" s="6" t="s">
        <v>733</v>
      </c>
      <c r="E131" s="13" t="n">
        <v>1727.92</v>
      </c>
    </row>
    <row r="132" customFormat="false" ht="15" hidden="false" customHeight="false" outlineLevel="0" collapsed="false">
      <c r="B132" s="8" t="s">
        <v>735</v>
      </c>
      <c r="C132" s="14" t="n">
        <f aca="false">C131*$F$120/1000</f>
        <v>207.35</v>
      </c>
      <c r="D132" s="6" t="s">
        <v>733</v>
      </c>
      <c r="E132" s="13" t="n">
        <v>207.35</v>
      </c>
    </row>
    <row r="133" customFormat="false" ht="15" hidden="false" customHeight="false" outlineLevel="0" collapsed="false">
      <c r="B133" s="8" t="s">
        <v>498</v>
      </c>
      <c r="C133" s="14" t="n">
        <f aca="false">SUMPRODUCT(H122:H129,D122:D129)/C130*100</f>
        <v>8.9171974522293</v>
      </c>
      <c r="D133" s="6" t="s">
        <v>733</v>
      </c>
      <c r="E133" s="13" t="n">
        <v>8.92</v>
      </c>
    </row>
    <row r="134" customFormat="false" ht="15" hidden="false" customHeight="false" outlineLevel="0" collapsed="false">
      <c r="B134" s="8" t="s">
        <v>736</v>
      </c>
      <c r="C134" s="14" t="n">
        <f aca="false">SUM(J122:J129)+SUM(K122:K129)+$D$120*(SUMPRODUCT(G122:G129,J122:J129)+SUMPRODUCT(G122:G129,K122:K129))</f>
        <v>74.72</v>
      </c>
      <c r="D134" s="6" t="s">
        <v>733</v>
      </c>
      <c r="E134" s="13" t="n">
        <v>74.72</v>
      </c>
    </row>
    <row r="135" customFormat="false" ht="15" hidden="false" customHeight="false" outlineLevel="0" collapsed="false">
      <c r="B135" s="8" t="s">
        <v>737</v>
      </c>
      <c r="C135" s="14" t="n">
        <f aca="false">(SUMPRODUCT(J122:J129,F122:F129)/60+$D$120*SUMPRODUCT(G122:G129,J122:J129,F122:F129)/60)*$F$120/1000</f>
        <v>109.614</v>
      </c>
      <c r="D135" s="6" t="s">
        <v>733</v>
      </c>
      <c r="E135" s="13" t="n">
        <v>109.61</v>
      </c>
    </row>
    <row r="136" customFormat="false" ht="15" hidden="false" customHeight="false" outlineLevel="0" collapsed="false">
      <c r="B136" s="8" t="s">
        <v>738</v>
      </c>
      <c r="C136" s="14" t="n">
        <f aca="false">12*(C132-C135)</f>
        <v>1172.832</v>
      </c>
      <c r="D136" s="6" t="s">
        <v>733</v>
      </c>
      <c r="E136" s="13" t="n">
        <v>1172.83</v>
      </c>
    </row>
    <row r="138" customFormat="false" ht="15" hidden="false" customHeight="false" outlineLevel="0" collapsed="false">
      <c r="A138" s="11" t="s">
        <v>763</v>
      </c>
    </row>
    <row r="139" customFormat="false" ht="15" hidden="false" customHeight="false" outlineLevel="0" collapsed="false">
      <c r="A139" s="6" t="s">
        <v>702</v>
      </c>
      <c r="B139" s="12" t="n">
        <v>0.2</v>
      </c>
      <c r="C139" s="6" t="s">
        <v>703</v>
      </c>
      <c r="D139" s="12" t="n">
        <v>0.05</v>
      </c>
      <c r="E139" s="6" t="s">
        <v>704</v>
      </c>
      <c r="F139" s="12" t="n">
        <v>50</v>
      </c>
    </row>
    <row r="140" customFormat="false" ht="15" hidden="false" customHeight="false" outlineLevel="0" collapsed="false">
      <c r="A140" s="5" t="s">
        <v>14</v>
      </c>
      <c r="B140" s="5" t="s">
        <v>705</v>
      </c>
      <c r="C140" s="5" t="s">
        <v>706</v>
      </c>
      <c r="D140" s="5" t="s">
        <v>707</v>
      </c>
      <c r="E140" s="5" t="s">
        <v>708</v>
      </c>
      <c r="F140" s="5" t="s">
        <v>709</v>
      </c>
      <c r="G140" s="5" t="s">
        <v>710</v>
      </c>
      <c r="H140" s="5" t="s">
        <v>711</v>
      </c>
      <c r="I140" s="5" t="s">
        <v>712</v>
      </c>
      <c r="J140" s="5" t="s">
        <v>713</v>
      </c>
      <c r="K140" s="5" t="s">
        <v>714</v>
      </c>
    </row>
    <row r="141" customFormat="false" ht="25.35" hidden="false" customHeight="false" outlineLevel="0" collapsed="false">
      <c r="A141" s="6" t="n">
        <v>1</v>
      </c>
      <c r="B141" s="6" t="s">
        <v>764</v>
      </c>
      <c r="C141" s="6" t="s">
        <v>716</v>
      </c>
      <c r="D141" s="12" t="n">
        <v>10</v>
      </c>
      <c r="E141" s="12" t="n">
        <v>21</v>
      </c>
      <c r="F141" s="12" t="n">
        <v>650</v>
      </c>
      <c r="G141" s="12" t="n">
        <v>1</v>
      </c>
      <c r="H141" s="12" t="n">
        <v>0</v>
      </c>
      <c r="I141" s="7" t="s">
        <v>717</v>
      </c>
      <c r="J141" s="13" t="n">
        <f aca="false">IF(I141="X",0,IF(I141="A",0.2*D141,D141))</f>
        <v>2</v>
      </c>
      <c r="K141" s="13" t="n">
        <f aca="false">IF(I141="K",E141,0)</f>
        <v>0</v>
      </c>
    </row>
    <row r="142" customFormat="false" ht="15" hidden="false" customHeight="false" outlineLevel="0" collapsed="false">
      <c r="A142" s="6" t="n">
        <v>2</v>
      </c>
      <c r="B142" s="6" t="s">
        <v>765</v>
      </c>
      <c r="C142" s="6" t="s">
        <v>719</v>
      </c>
      <c r="D142" s="12" t="n">
        <v>10</v>
      </c>
      <c r="E142" s="12" t="n">
        <v>54</v>
      </c>
      <c r="F142" s="12" t="n">
        <v>450</v>
      </c>
      <c r="G142" s="12" t="n">
        <v>1</v>
      </c>
      <c r="H142" s="12" t="n">
        <v>0</v>
      </c>
      <c r="I142" s="7" t="s">
        <v>720</v>
      </c>
      <c r="J142" s="13" t="n">
        <f aca="false">IF(I142="X",0,IF(I142="A",0.2*D142,D142))</f>
        <v>0</v>
      </c>
      <c r="K142" s="13" t="n">
        <f aca="false">IF(I142="K",E142,0)</f>
        <v>0</v>
      </c>
    </row>
    <row r="143" customFormat="false" ht="25.35" hidden="false" customHeight="false" outlineLevel="0" collapsed="false">
      <c r="A143" s="6" t="n">
        <v>3</v>
      </c>
      <c r="B143" s="6" t="s">
        <v>721</v>
      </c>
      <c r="C143" s="6" t="s">
        <v>722</v>
      </c>
      <c r="D143" s="12" t="n">
        <v>16</v>
      </c>
      <c r="E143" s="12" t="n">
        <v>44</v>
      </c>
      <c r="F143" s="12" t="n">
        <v>700</v>
      </c>
      <c r="G143" s="12" t="n">
        <v>1</v>
      </c>
      <c r="H143" s="12" t="n">
        <v>0</v>
      </c>
      <c r="I143" s="7" t="s">
        <v>717</v>
      </c>
      <c r="J143" s="13" t="n">
        <f aca="false">IF(I143="X",0,IF(I143="A",0.2*D143,D143))</f>
        <v>3.2</v>
      </c>
      <c r="K143" s="13" t="n">
        <f aca="false">IF(I143="K",E143,0)</f>
        <v>0</v>
      </c>
    </row>
    <row r="144" customFormat="false" ht="15" hidden="false" customHeight="false" outlineLevel="0" collapsed="false">
      <c r="A144" s="6" t="n">
        <v>4</v>
      </c>
      <c r="B144" s="6" t="s">
        <v>723</v>
      </c>
      <c r="C144" s="6" t="s">
        <v>724</v>
      </c>
      <c r="D144" s="12" t="n">
        <v>4</v>
      </c>
      <c r="E144" s="12" t="n">
        <v>273</v>
      </c>
      <c r="F144" s="12" t="n">
        <v>1600</v>
      </c>
      <c r="G144" s="12" t="n">
        <v>0</v>
      </c>
      <c r="H144" s="12" t="n">
        <v>0</v>
      </c>
      <c r="I144" s="7" t="s">
        <v>720</v>
      </c>
      <c r="J144" s="13" t="n">
        <f aca="false">IF(I144="X",0,IF(I144="A",0.2*D144,D144))</f>
        <v>0</v>
      </c>
      <c r="K144" s="13" t="n">
        <f aca="false">IF(I144="K",E144,0)</f>
        <v>0</v>
      </c>
    </row>
    <row r="145" customFormat="false" ht="15" hidden="false" customHeight="false" outlineLevel="0" collapsed="false">
      <c r="A145" s="6" t="n">
        <v>5</v>
      </c>
      <c r="B145" s="6" t="s">
        <v>725</v>
      </c>
      <c r="C145" s="6" t="s">
        <v>726</v>
      </c>
      <c r="D145" s="12" t="n">
        <v>8</v>
      </c>
      <c r="E145" s="12" t="n">
        <v>37</v>
      </c>
      <c r="F145" s="12" t="n">
        <v>600</v>
      </c>
      <c r="G145" s="12" t="n">
        <v>0</v>
      </c>
      <c r="H145" s="12" t="n">
        <v>0</v>
      </c>
      <c r="I145" s="7" t="s">
        <v>717</v>
      </c>
      <c r="J145" s="13" t="n">
        <f aca="false">IF(I145="X",0,IF(I145="A",0.2*D145,D145))</f>
        <v>1.6</v>
      </c>
      <c r="K145" s="13" t="n">
        <f aca="false">IF(I145="K",E145,0)</f>
        <v>0</v>
      </c>
    </row>
    <row r="146" customFormat="false" ht="15" hidden="false" customHeight="false" outlineLevel="0" collapsed="false">
      <c r="A146" s="6" t="n">
        <v>6</v>
      </c>
      <c r="B146" s="6" t="s">
        <v>727</v>
      </c>
      <c r="C146" s="6" t="s">
        <v>726</v>
      </c>
      <c r="D146" s="12" t="n">
        <v>4</v>
      </c>
      <c r="E146" s="12" t="n">
        <v>0</v>
      </c>
      <c r="F146" s="12" t="n">
        <v>600</v>
      </c>
      <c r="G146" s="12" t="n">
        <v>0</v>
      </c>
      <c r="H146" s="12" t="n">
        <v>0</v>
      </c>
      <c r="I146" s="7" t="s">
        <v>720</v>
      </c>
      <c r="J146" s="13" t="n">
        <f aca="false">IF(I146="X",0,IF(I146="A",0.2*D146,D146))</f>
        <v>0</v>
      </c>
      <c r="K146" s="13" t="n">
        <f aca="false">IF(I146="K",E146,0)</f>
        <v>0</v>
      </c>
    </row>
    <row r="147" customFormat="false" ht="15" hidden="false" customHeight="false" outlineLevel="0" collapsed="false">
      <c r="A147" s="6" t="n">
        <v>7</v>
      </c>
      <c r="B147" s="6" t="s">
        <v>766</v>
      </c>
      <c r="C147" s="6" t="s">
        <v>729</v>
      </c>
      <c r="D147" s="12" t="n">
        <v>58</v>
      </c>
      <c r="E147" s="12" t="n">
        <v>0</v>
      </c>
      <c r="F147" s="12" t="n">
        <v>750</v>
      </c>
      <c r="G147" s="12" t="n">
        <v>0</v>
      </c>
      <c r="H147" s="12" t="n">
        <v>1</v>
      </c>
      <c r="I147" s="7" t="s">
        <v>730</v>
      </c>
      <c r="J147" s="13" t="n">
        <f aca="false">IF(I147="X",0,IF(I147="A",0.2*D147,D147))</f>
        <v>58</v>
      </c>
      <c r="K147" s="13" t="n">
        <f aca="false">IF(I147="K",E147,0)</f>
        <v>0</v>
      </c>
    </row>
    <row r="148" customFormat="false" ht="15" hidden="false" customHeight="false" outlineLevel="0" collapsed="false">
      <c r="A148" s="6" t="n">
        <v>8</v>
      </c>
      <c r="B148" s="6" t="s">
        <v>731</v>
      </c>
      <c r="C148" s="6" t="s">
        <v>726</v>
      </c>
      <c r="D148" s="12" t="n">
        <v>17</v>
      </c>
      <c r="E148" s="12" t="n">
        <v>120</v>
      </c>
      <c r="F148" s="12" t="n">
        <v>600</v>
      </c>
      <c r="G148" s="12" t="n">
        <v>0</v>
      </c>
      <c r="H148" s="12" t="n">
        <v>0</v>
      </c>
      <c r="I148" s="7" t="s">
        <v>717</v>
      </c>
      <c r="J148" s="13" t="n">
        <f aca="false">IF(I148="X",0,IF(I148="A",0.2*D148,D148))</f>
        <v>3.4</v>
      </c>
      <c r="K148" s="13" t="n">
        <f aca="false">IF(I148="K",E148,0)</f>
        <v>0</v>
      </c>
    </row>
    <row r="149" customFormat="false" ht="15" hidden="false" customHeight="false" outlineLevel="0" collapsed="false">
      <c r="B149" s="8" t="s">
        <v>732</v>
      </c>
      <c r="C149" s="14" t="n">
        <f aca="false">SUM(D141:D148)+SUM(E141:E148)+$B$139*(SUMPRODUCT(G141:G148,D141:D148)+SUMPRODUCT(G141:G148,E141:E148))</f>
        <v>707</v>
      </c>
      <c r="D149" s="6" t="s">
        <v>733</v>
      </c>
      <c r="E149" s="13" t="n">
        <v>707</v>
      </c>
    </row>
    <row r="150" customFormat="false" ht="15" hidden="false" customHeight="false" outlineLevel="0" collapsed="false">
      <c r="B150" s="8" t="s">
        <v>734</v>
      </c>
      <c r="C150" s="14" t="n">
        <f aca="false">SUMPRODUCT(D141:D148,F141:F148)/60+$B$139*SUMPRODUCT(G141:G148,D141:D148,F141:F148)/60</f>
        <v>1565.66666666667</v>
      </c>
      <c r="D150" s="6" t="s">
        <v>733</v>
      </c>
      <c r="E150" s="13" t="n">
        <v>1565.67</v>
      </c>
    </row>
    <row r="151" customFormat="false" ht="15" hidden="false" customHeight="false" outlineLevel="0" collapsed="false">
      <c r="B151" s="8" t="s">
        <v>735</v>
      </c>
      <c r="C151" s="14" t="n">
        <f aca="false">C150*$F$139/1000</f>
        <v>78.2833333333334</v>
      </c>
      <c r="D151" s="6" t="s">
        <v>733</v>
      </c>
      <c r="E151" s="13" t="n">
        <v>78.28</v>
      </c>
    </row>
    <row r="152" customFormat="false" ht="15" hidden="false" customHeight="false" outlineLevel="0" collapsed="false">
      <c r="B152" s="8" t="s">
        <v>498</v>
      </c>
      <c r="C152" s="14" t="n">
        <f aca="false">SUMPRODUCT(H141:H148,D141:D148)/C149*100</f>
        <v>8.2036775106082</v>
      </c>
      <c r="D152" s="6" t="s">
        <v>733</v>
      </c>
      <c r="E152" s="13" t="n">
        <v>8.2</v>
      </c>
    </row>
    <row r="153" customFormat="false" ht="15" hidden="false" customHeight="false" outlineLevel="0" collapsed="false">
      <c r="B153" s="8" t="s">
        <v>736</v>
      </c>
      <c r="C153" s="14" t="n">
        <f aca="false">SUM(J141:J148)+SUM(K141:K148)+$D$139*(SUMPRODUCT(G141:G148,J141:J148)+SUMPRODUCT(G141:G148,K141:K148))</f>
        <v>68.46</v>
      </c>
      <c r="D153" s="6" t="s">
        <v>733</v>
      </c>
      <c r="E153" s="13" t="n">
        <v>68.46</v>
      </c>
    </row>
    <row r="154" customFormat="false" ht="15" hidden="false" customHeight="false" outlineLevel="0" collapsed="false">
      <c r="B154" s="8" t="s">
        <v>737</v>
      </c>
      <c r="C154" s="14" t="n">
        <f aca="false">(SUMPRODUCT(J141:J148,F141:F148)/60+$D$139*SUMPRODUCT(G141:G148,J141:J148,F141:F148)/60)*$F$139/1000</f>
        <v>41.8475</v>
      </c>
      <c r="D154" s="6" t="s">
        <v>733</v>
      </c>
      <c r="E154" s="13" t="n">
        <v>41.85</v>
      </c>
    </row>
    <row r="155" customFormat="false" ht="15" hidden="false" customHeight="false" outlineLevel="0" collapsed="false">
      <c r="B155" s="8" t="s">
        <v>738</v>
      </c>
      <c r="C155" s="14" t="n">
        <f aca="false">12*(C151-C154)</f>
        <v>437.23</v>
      </c>
      <c r="D155" s="6" t="s">
        <v>733</v>
      </c>
      <c r="E155" s="13" t="n">
        <v>437.23</v>
      </c>
    </row>
    <row r="157" customFormat="false" ht="15" hidden="false" customHeight="false" outlineLevel="0" collapsed="false">
      <c r="A157" s="11" t="s">
        <v>767</v>
      </c>
    </row>
    <row r="158" customFormat="false" ht="15" hidden="false" customHeight="false" outlineLevel="0" collapsed="false">
      <c r="A158" s="6" t="s">
        <v>702</v>
      </c>
      <c r="B158" s="12" t="n">
        <v>0.15</v>
      </c>
      <c r="C158" s="6" t="s">
        <v>703</v>
      </c>
      <c r="D158" s="12" t="n">
        <v>0.05</v>
      </c>
      <c r="E158" s="6" t="s">
        <v>704</v>
      </c>
      <c r="F158" s="12" t="n">
        <v>300</v>
      </c>
    </row>
    <row r="159" customFormat="false" ht="15" hidden="false" customHeight="false" outlineLevel="0" collapsed="false">
      <c r="A159" s="5" t="s">
        <v>14</v>
      </c>
      <c r="B159" s="5" t="s">
        <v>705</v>
      </c>
      <c r="C159" s="5" t="s">
        <v>706</v>
      </c>
      <c r="D159" s="5" t="s">
        <v>707</v>
      </c>
      <c r="E159" s="5" t="s">
        <v>708</v>
      </c>
      <c r="F159" s="5" t="s">
        <v>709</v>
      </c>
      <c r="G159" s="5" t="s">
        <v>710</v>
      </c>
      <c r="H159" s="5" t="s">
        <v>711</v>
      </c>
      <c r="I159" s="5" t="s">
        <v>712</v>
      </c>
      <c r="J159" s="5" t="s">
        <v>713</v>
      </c>
      <c r="K159" s="5" t="s">
        <v>714</v>
      </c>
    </row>
    <row r="160" customFormat="false" ht="25.35" hidden="false" customHeight="false" outlineLevel="0" collapsed="false">
      <c r="A160" s="6" t="n">
        <v>1</v>
      </c>
      <c r="B160" s="6" t="s">
        <v>768</v>
      </c>
      <c r="C160" s="6" t="s">
        <v>716</v>
      </c>
      <c r="D160" s="12" t="n">
        <v>11</v>
      </c>
      <c r="E160" s="12" t="n">
        <v>25</v>
      </c>
      <c r="F160" s="12" t="n">
        <v>650</v>
      </c>
      <c r="G160" s="12" t="n">
        <v>1</v>
      </c>
      <c r="H160" s="12" t="n">
        <v>0</v>
      </c>
      <c r="I160" s="7" t="s">
        <v>717</v>
      </c>
      <c r="J160" s="13" t="n">
        <f aca="false">IF(I160="X",0,IF(I160="A",0.2*D160,D160))</f>
        <v>2.2</v>
      </c>
      <c r="K160" s="13" t="n">
        <f aca="false">IF(I160="K",E160,0)</f>
        <v>0</v>
      </c>
    </row>
    <row r="161" customFormat="false" ht="15" hidden="false" customHeight="false" outlineLevel="0" collapsed="false">
      <c r="A161" s="6" t="n">
        <v>2</v>
      </c>
      <c r="B161" s="6" t="s">
        <v>769</v>
      </c>
      <c r="C161" s="6" t="s">
        <v>719</v>
      </c>
      <c r="D161" s="12" t="n">
        <v>9</v>
      </c>
      <c r="E161" s="12" t="n">
        <v>67</v>
      </c>
      <c r="F161" s="12" t="n">
        <v>450</v>
      </c>
      <c r="G161" s="12" t="n">
        <v>1</v>
      </c>
      <c r="H161" s="12" t="n">
        <v>0</v>
      </c>
      <c r="I161" s="7" t="s">
        <v>720</v>
      </c>
      <c r="J161" s="13" t="n">
        <f aca="false">IF(I161="X",0,IF(I161="A",0.2*D161,D161))</f>
        <v>0</v>
      </c>
      <c r="K161" s="13" t="n">
        <f aca="false">IF(I161="K",E161,0)</f>
        <v>0</v>
      </c>
    </row>
    <row r="162" customFormat="false" ht="25.35" hidden="false" customHeight="false" outlineLevel="0" collapsed="false">
      <c r="A162" s="6" t="n">
        <v>3</v>
      </c>
      <c r="B162" s="6" t="s">
        <v>721</v>
      </c>
      <c r="C162" s="6" t="s">
        <v>722</v>
      </c>
      <c r="D162" s="12" t="n">
        <v>13</v>
      </c>
      <c r="E162" s="12" t="n">
        <v>45</v>
      </c>
      <c r="F162" s="12" t="n">
        <v>700</v>
      </c>
      <c r="G162" s="12" t="n">
        <v>1</v>
      </c>
      <c r="H162" s="12" t="n">
        <v>0</v>
      </c>
      <c r="I162" s="7" t="s">
        <v>717</v>
      </c>
      <c r="J162" s="13" t="n">
        <f aca="false">IF(I162="X",0,IF(I162="A",0.2*D162,D162))</f>
        <v>2.6</v>
      </c>
      <c r="K162" s="13" t="n">
        <f aca="false">IF(I162="K",E162,0)</f>
        <v>0</v>
      </c>
    </row>
    <row r="163" customFormat="false" ht="15" hidden="false" customHeight="false" outlineLevel="0" collapsed="false">
      <c r="A163" s="6" t="n">
        <v>4</v>
      </c>
      <c r="B163" s="6" t="s">
        <v>723</v>
      </c>
      <c r="C163" s="6" t="s">
        <v>724</v>
      </c>
      <c r="D163" s="12" t="n">
        <v>4</v>
      </c>
      <c r="E163" s="12" t="n">
        <v>270</v>
      </c>
      <c r="F163" s="12" t="n">
        <v>1600</v>
      </c>
      <c r="G163" s="12" t="n">
        <v>0</v>
      </c>
      <c r="H163" s="12" t="n">
        <v>0</v>
      </c>
      <c r="I163" s="7" t="s">
        <v>720</v>
      </c>
      <c r="J163" s="13" t="n">
        <f aca="false">IF(I163="X",0,IF(I163="A",0.2*D163,D163))</f>
        <v>0</v>
      </c>
      <c r="K163" s="13" t="n">
        <f aca="false">IF(I163="K",E163,0)</f>
        <v>0</v>
      </c>
    </row>
    <row r="164" customFormat="false" ht="15" hidden="false" customHeight="false" outlineLevel="0" collapsed="false">
      <c r="A164" s="6" t="n">
        <v>5</v>
      </c>
      <c r="B164" s="6" t="s">
        <v>725</v>
      </c>
      <c r="C164" s="6" t="s">
        <v>726</v>
      </c>
      <c r="D164" s="12" t="n">
        <v>10</v>
      </c>
      <c r="E164" s="12" t="n">
        <v>24</v>
      </c>
      <c r="F164" s="12" t="n">
        <v>600</v>
      </c>
      <c r="G164" s="12" t="n">
        <v>0</v>
      </c>
      <c r="H164" s="12" t="n">
        <v>0</v>
      </c>
      <c r="I164" s="7" t="s">
        <v>717</v>
      </c>
      <c r="J164" s="13" t="n">
        <f aca="false">IF(I164="X",0,IF(I164="A",0.2*D164,D164))</f>
        <v>2</v>
      </c>
      <c r="K164" s="13" t="n">
        <f aca="false">IF(I164="K",E164,0)</f>
        <v>0</v>
      </c>
    </row>
    <row r="165" customFormat="false" ht="15" hidden="false" customHeight="false" outlineLevel="0" collapsed="false">
      <c r="A165" s="6" t="n">
        <v>6</v>
      </c>
      <c r="B165" s="6" t="s">
        <v>727</v>
      </c>
      <c r="C165" s="6" t="s">
        <v>726</v>
      </c>
      <c r="D165" s="12" t="n">
        <v>3</v>
      </c>
      <c r="E165" s="12" t="n">
        <v>0</v>
      </c>
      <c r="F165" s="12" t="n">
        <v>600</v>
      </c>
      <c r="G165" s="12" t="n">
        <v>0</v>
      </c>
      <c r="H165" s="12" t="n">
        <v>0</v>
      </c>
      <c r="I165" s="7" t="s">
        <v>720</v>
      </c>
      <c r="J165" s="13" t="n">
        <f aca="false">IF(I165="X",0,IF(I165="A",0.2*D165,D165))</f>
        <v>0</v>
      </c>
      <c r="K165" s="13" t="n">
        <f aca="false">IF(I165="K",E165,0)</f>
        <v>0</v>
      </c>
    </row>
    <row r="166" customFormat="false" ht="15" hidden="false" customHeight="false" outlineLevel="0" collapsed="false">
      <c r="A166" s="6" t="n">
        <v>7</v>
      </c>
      <c r="B166" s="6" t="s">
        <v>770</v>
      </c>
      <c r="C166" s="6" t="s">
        <v>729</v>
      </c>
      <c r="D166" s="12" t="n">
        <v>64</v>
      </c>
      <c r="E166" s="12" t="n">
        <v>0</v>
      </c>
      <c r="F166" s="12" t="n">
        <v>750</v>
      </c>
      <c r="G166" s="12" t="n">
        <v>0</v>
      </c>
      <c r="H166" s="12" t="n">
        <v>1</v>
      </c>
      <c r="I166" s="7" t="s">
        <v>730</v>
      </c>
      <c r="J166" s="13" t="n">
        <f aca="false">IF(I166="X",0,IF(I166="A",0.2*D166,D166))</f>
        <v>64</v>
      </c>
      <c r="K166" s="13" t="n">
        <f aca="false">IF(I166="K",E166,0)</f>
        <v>0</v>
      </c>
    </row>
    <row r="167" customFormat="false" ht="15" hidden="false" customHeight="false" outlineLevel="0" collapsed="false">
      <c r="A167" s="6" t="n">
        <v>8</v>
      </c>
      <c r="B167" s="6" t="s">
        <v>731</v>
      </c>
      <c r="C167" s="6" t="s">
        <v>726</v>
      </c>
      <c r="D167" s="12" t="n">
        <v>15</v>
      </c>
      <c r="E167" s="12" t="n">
        <v>113</v>
      </c>
      <c r="F167" s="12" t="n">
        <v>600</v>
      </c>
      <c r="G167" s="12" t="n">
        <v>0</v>
      </c>
      <c r="H167" s="12" t="n">
        <v>0</v>
      </c>
      <c r="I167" s="7" t="s">
        <v>717</v>
      </c>
      <c r="J167" s="13" t="n">
        <f aca="false">IF(I167="X",0,IF(I167="A",0.2*D167,D167))</f>
        <v>3</v>
      </c>
      <c r="K167" s="13" t="n">
        <f aca="false">IF(I167="K",E167,0)</f>
        <v>0</v>
      </c>
    </row>
    <row r="168" customFormat="false" ht="15" hidden="false" customHeight="false" outlineLevel="0" collapsed="false">
      <c r="B168" s="8" t="s">
        <v>732</v>
      </c>
      <c r="C168" s="14" t="n">
        <f aca="false">SUM(D160:D167)+SUM(E160:E167)+$B$158*(SUMPRODUCT(G160:G167,D160:D167)+SUMPRODUCT(G160:G167,E160:E167))</f>
        <v>698.5</v>
      </c>
      <c r="D168" s="6" t="s">
        <v>733</v>
      </c>
      <c r="E168" s="13" t="n">
        <v>698.5</v>
      </c>
    </row>
    <row r="169" customFormat="false" ht="15" hidden="false" customHeight="false" outlineLevel="0" collapsed="false">
      <c r="B169" s="8" t="s">
        <v>734</v>
      </c>
      <c r="C169" s="14" t="n">
        <f aca="false">SUMPRODUCT(D160:D167,F160:F167)/60+$B$158*SUMPRODUCT(G160:G167,D160:D167,F160:F167)/60</f>
        <v>1575.75</v>
      </c>
      <c r="D169" s="6" t="s">
        <v>733</v>
      </c>
      <c r="E169" s="13" t="n">
        <v>1575.75</v>
      </c>
    </row>
    <row r="170" customFormat="false" ht="15" hidden="false" customHeight="false" outlineLevel="0" collapsed="false">
      <c r="B170" s="8" t="s">
        <v>735</v>
      </c>
      <c r="C170" s="14" t="n">
        <f aca="false">C169*$F$158/1000</f>
        <v>472.725</v>
      </c>
      <c r="D170" s="6" t="s">
        <v>733</v>
      </c>
      <c r="E170" s="13" t="n">
        <v>472.73</v>
      </c>
    </row>
    <row r="171" customFormat="false" ht="15" hidden="false" customHeight="false" outlineLevel="0" collapsed="false">
      <c r="B171" s="8" t="s">
        <v>498</v>
      </c>
      <c r="C171" s="14" t="n">
        <f aca="false">SUMPRODUCT(H160:H167,D160:D167)/C168*100</f>
        <v>9.16249105225483</v>
      </c>
      <c r="D171" s="6" t="s">
        <v>733</v>
      </c>
      <c r="E171" s="13" t="n">
        <v>9.16</v>
      </c>
    </row>
    <row r="172" customFormat="false" ht="15" hidden="false" customHeight="false" outlineLevel="0" collapsed="false">
      <c r="B172" s="8" t="s">
        <v>736</v>
      </c>
      <c r="C172" s="14" t="n">
        <f aca="false">SUM(J160:J167)+SUM(K160:K167)+$D$158*(SUMPRODUCT(G160:G167,J160:J167)+SUMPRODUCT(G160:G167,K160:K167))</f>
        <v>74.04</v>
      </c>
      <c r="D172" s="6" t="s">
        <v>733</v>
      </c>
      <c r="E172" s="13" t="n">
        <v>74.04</v>
      </c>
    </row>
    <row r="173" customFormat="false" ht="15" hidden="false" customHeight="false" outlineLevel="0" collapsed="false">
      <c r="B173" s="8" t="s">
        <v>737</v>
      </c>
      <c r="C173" s="14" t="n">
        <f aca="false">(SUMPRODUCT(J160:J167,F160:F167)/60+$D$158*SUMPRODUCT(G160:G167,J160:J167,F160:F167)/60)*$F$158/1000</f>
        <v>272.0625</v>
      </c>
      <c r="D173" s="6" t="s">
        <v>733</v>
      </c>
      <c r="E173" s="13" t="n">
        <v>272.06</v>
      </c>
    </row>
    <row r="174" customFormat="false" ht="15" hidden="false" customHeight="false" outlineLevel="0" collapsed="false">
      <c r="B174" s="8" t="s">
        <v>738</v>
      </c>
      <c r="C174" s="14" t="n">
        <f aca="false">12*(C170-C173)</f>
        <v>2407.95</v>
      </c>
      <c r="D174" s="6" t="s">
        <v>733</v>
      </c>
      <c r="E174" s="13" t="n">
        <v>2407.95</v>
      </c>
    </row>
    <row r="176" customFormat="false" ht="15" hidden="false" customHeight="false" outlineLevel="0" collapsed="false">
      <c r="A176" s="11" t="s">
        <v>771</v>
      </c>
    </row>
    <row r="177" customFormat="false" ht="15" hidden="false" customHeight="false" outlineLevel="0" collapsed="false">
      <c r="A177" s="6" t="s">
        <v>702</v>
      </c>
      <c r="B177" s="12" t="n">
        <v>0.15</v>
      </c>
      <c r="C177" s="6" t="s">
        <v>703</v>
      </c>
      <c r="D177" s="12" t="n">
        <v>0.05</v>
      </c>
      <c r="E177" s="6" t="s">
        <v>704</v>
      </c>
      <c r="F177" s="12" t="n">
        <v>200</v>
      </c>
    </row>
    <row r="178" customFormat="false" ht="15" hidden="false" customHeight="false" outlineLevel="0" collapsed="false">
      <c r="A178" s="5" t="s">
        <v>14</v>
      </c>
      <c r="B178" s="5" t="s">
        <v>705</v>
      </c>
      <c r="C178" s="5" t="s">
        <v>706</v>
      </c>
      <c r="D178" s="5" t="s">
        <v>707</v>
      </c>
      <c r="E178" s="5" t="s">
        <v>708</v>
      </c>
      <c r="F178" s="5" t="s">
        <v>709</v>
      </c>
      <c r="G178" s="5" t="s">
        <v>710</v>
      </c>
      <c r="H178" s="5" t="s">
        <v>711</v>
      </c>
      <c r="I178" s="5" t="s">
        <v>712</v>
      </c>
      <c r="J178" s="5" t="s">
        <v>713</v>
      </c>
      <c r="K178" s="5" t="s">
        <v>714</v>
      </c>
    </row>
    <row r="179" customFormat="false" ht="25.35" hidden="false" customHeight="false" outlineLevel="0" collapsed="false">
      <c r="A179" s="6" t="n">
        <v>1</v>
      </c>
      <c r="B179" s="6" t="s">
        <v>772</v>
      </c>
      <c r="C179" s="6" t="s">
        <v>716</v>
      </c>
      <c r="D179" s="12" t="n">
        <v>13</v>
      </c>
      <c r="E179" s="12" t="n">
        <v>26</v>
      </c>
      <c r="F179" s="12" t="n">
        <v>650</v>
      </c>
      <c r="G179" s="12" t="n">
        <v>1</v>
      </c>
      <c r="H179" s="12" t="n">
        <v>0</v>
      </c>
      <c r="I179" s="7" t="s">
        <v>717</v>
      </c>
      <c r="J179" s="13" t="n">
        <f aca="false">IF(I179="X",0,IF(I179="A",0.2*D179,D179))</f>
        <v>2.6</v>
      </c>
      <c r="K179" s="13" t="n">
        <f aca="false">IF(I179="K",E179,0)</f>
        <v>0</v>
      </c>
    </row>
    <row r="180" customFormat="false" ht="15" hidden="false" customHeight="false" outlineLevel="0" collapsed="false">
      <c r="A180" s="6" t="n">
        <v>2</v>
      </c>
      <c r="B180" s="6" t="s">
        <v>773</v>
      </c>
      <c r="C180" s="6" t="s">
        <v>719</v>
      </c>
      <c r="D180" s="12" t="n">
        <v>10</v>
      </c>
      <c r="E180" s="12" t="n">
        <v>55</v>
      </c>
      <c r="F180" s="12" t="n">
        <v>450</v>
      </c>
      <c r="G180" s="12" t="n">
        <v>1</v>
      </c>
      <c r="H180" s="12" t="n">
        <v>0</v>
      </c>
      <c r="I180" s="7" t="s">
        <v>720</v>
      </c>
      <c r="J180" s="13" t="n">
        <f aca="false">IF(I180="X",0,IF(I180="A",0.2*D180,D180))</f>
        <v>0</v>
      </c>
      <c r="K180" s="13" t="n">
        <f aca="false">IF(I180="K",E180,0)</f>
        <v>0</v>
      </c>
    </row>
    <row r="181" customFormat="false" ht="25.35" hidden="false" customHeight="false" outlineLevel="0" collapsed="false">
      <c r="A181" s="6" t="n">
        <v>3</v>
      </c>
      <c r="B181" s="6" t="s">
        <v>721</v>
      </c>
      <c r="C181" s="6" t="s">
        <v>722</v>
      </c>
      <c r="D181" s="12" t="n">
        <v>13</v>
      </c>
      <c r="E181" s="12" t="n">
        <v>43</v>
      </c>
      <c r="F181" s="12" t="n">
        <v>700</v>
      </c>
      <c r="G181" s="12" t="n">
        <v>1</v>
      </c>
      <c r="H181" s="12" t="n">
        <v>0</v>
      </c>
      <c r="I181" s="7" t="s">
        <v>717</v>
      </c>
      <c r="J181" s="13" t="n">
        <f aca="false">IF(I181="X",0,IF(I181="A",0.2*D181,D181))</f>
        <v>2.6</v>
      </c>
      <c r="K181" s="13" t="n">
        <f aca="false">IF(I181="K",E181,0)</f>
        <v>0</v>
      </c>
    </row>
    <row r="182" customFormat="false" ht="15" hidden="false" customHeight="false" outlineLevel="0" collapsed="false">
      <c r="A182" s="6" t="n">
        <v>4</v>
      </c>
      <c r="B182" s="6" t="s">
        <v>723</v>
      </c>
      <c r="C182" s="6" t="s">
        <v>724</v>
      </c>
      <c r="D182" s="12" t="n">
        <v>5</v>
      </c>
      <c r="E182" s="12" t="n">
        <v>303</v>
      </c>
      <c r="F182" s="12" t="n">
        <v>1600</v>
      </c>
      <c r="G182" s="12" t="n">
        <v>0</v>
      </c>
      <c r="H182" s="12" t="n">
        <v>0</v>
      </c>
      <c r="I182" s="7" t="s">
        <v>720</v>
      </c>
      <c r="J182" s="13" t="n">
        <f aca="false">IF(I182="X",0,IF(I182="A",0.2*D182,D182))</f>
        <v>0</v>
      </c>
      <c r="K182" s="13" t="n">
        <f aca="false">IF(I182="K",E182,0)</f>
        <v>0</v>
      </c>
    </row>
    <row r="183" customFormat="false" ht="15" hidden="false" customHeight="false" outlineLevel="0" collapsed="false">
      <c r="A183" s="6" t="n">
        <v>5</v>
      </c>
      <c r="B183" s="6" t="s">
        <v>725</v>
      </c>
      <c r="C183" s="6" t="s">
        <v>726</v>
      </c>
      <c r="D183" s="12" t="n">
        <v>9</v>
      </c>
      <c r="E183" s="12" t="n">
        <v>25</v>
      </c>
      <c r="F183" s="12" t="n">
        <v>600</v>
      </c>
      <c r="G183" s="12" t="n">
        <v>0</v>
      </c>
      <c r="H183" s="12" t="n">
        <v>0</v>
      </c>
      <c r="I183" s="7" t="s">
        <v>717</v>
      </c>
      <c r="J183" s="13" t="n">
        <f aca="false">IF(I183="X",0,IF(I183="A",0.2*D183,D183))</f>
        <v>1.8</v>
      </c>
      <c r="K183" s="13" t="n">
        <f aca="false">IF(I183="K",E183,0)</f>
        <v>0</v>
      </c>
    </row>
    <row r="184" customFormat="false" ht="15" hidden="false" customHeight="false" outlineLevel="0" collapsed="false">
      <c r="A184" s="6" t="n">
        <v>6</v>
      </c>
      <c r="B184" s="6" t="s">
        <v>727</v>
      </c>
      <c r="C184" s="6" t="s">
        <v>726</v>
      </c>
      <c r="D184" s="12" t="n">
        <v>4</v>
      </c>
      <c r="E184" s="12" t="n">
        <v>0</v>
      </c>
      <c r="F184" s="12" t="n">
        <v>600</v>
      </c>
      <c r="G184" s="12" t="n">
        <v>0</v>
      </c>
      <c r="H184" s="12" t="n">
        <v>0</v>
      </c>
      <c r="I184" s="7" t="s">
        <v>720</v>
      </c>
      <c r="J184" s="13" t="n">
        <f aca="false">IF(I184="X",0,IF(I184="A",0.2*D184,D184))</f>
        <v>0</v>
      </c>
      <c r="K184" s="13" t="n">
        <f aca="false">IF(I184="K",E184,0)</f>
        <v>0</v>
      </c>
    </row>
    <row r="185" customFormat="false" ht="15" hidden="false" customHeight="false" outlineLevel="0" collapsed="false">
      <c r="A185" s="6" t="n">
        <v>7</v>
      </c>
      <c r="B185" s="6" t="s">
        <v>774</v>
      </c>
      <c r="C185" s="6" t="s">
        <v>729</v>
      </c>
      <c r="D185" s="12" t="n">
        <v>70</v>
      </c>
      <c r="E185" s="12" t="n">
        <v>0</v>
      </c>
      <c r="F185" s="12" t="n">
        <v>750</v>
      </c>
      <c r="G185" s="12" t="n">
        <v>0</v>
      </c>
      <c r="H185" s="12" t="n">
        <v>1</v>
      </c>
      <c r="I185" s="7" t="s">
        <v>730</v>
      </c>
      <c r="J185" s="13" t="n">
        <f aca="false">IF(I185="X",0,IF(I185="A",0.2*D185,D185))</f>
        <v>70</v>
      </c>
      <c r="K185" s="13" t="n">
        <f aca="false">IF(I185="K",E185,0)</f>
        <v>0</v>
      </c>
    </row>
    <row r="186" customFormat="false" ht="15" hidden="false" customHeight="false" outlineLevel="0" collapsed="false">
      <c r="A186" s="6" t="n">
        <v>8</v>
      </c>
      <c r="B186" s="6" t="s">
        <v>731</v>
      </c>
      <c r="C186" s="6" t="s">
        <v>726</v>
      </c>
      <c r="D186" s="12" t="n">
        <v>17</v>
      </c>
      <c r="E186" s="12" t="n">
        <v>135</v>
      </c>
      <c r="F186" s="12" t="n">
        <v>600</v>
      </c>
      <c r="G186" s="12" t="n">
        <v>0</v>
      </c>
      <c r="H186" s="12" t="n">
        <v>0</v>
      </c>
      <c r="I186" s="7" t="s">
        <v>717</v>
      </c>
      <c r="J186" s="13" t="n">
        <f aca="false">IF(I186="X",0,IF(I186="A",0.2*D186,D186))</f>
        <v>3.4</v>
      </c>
      <c r="K186" s="13" t="n">
        <f aca="false">IF(I186="K",E186,0)</f>
        <v>0</v>
      </c>
    </row>
    <row r="187" customFormat="false" ht="15" hidden="false" customHeight="false" outlineLevel="0" collapsed="false">
      <c r="B187" s="8" t="s">
        <v>732</v>
      </c>
      <c r="C187" s="14" t="n">
        <f aca="false">SUM(D179:D186)+SUM(E179:E186)+$B$177*(SUMPRODUCT(G179:G186,D179:D186)+SUMPRODUCT(G179:G186,E179:E186))</f>
        <v>752</v>
      </c>
      <c r="D187" s="6" t="s">
        <v>733</v>
      </c>
      <c r="E187" s="13" t="n">
        <v>752</v>
      </c>
    </row>
    <row r="188" customFormat="false" ht="15" hidden="false" customHeight="false" outlineLevel="0" collapsed="false">
      <c r="B188" s="8" t="s">
        <v>734</v>
      </c>
      <c r="C188" s="14" t="n">
        <f aca="false">SUMPRODUCT(D179:D186,F179:F186)/60+$B$177*SUMPRODUCT(G179:G186,D179:D186,F179:F186)/60</f>
        <v>1730.95833333333</v>
      </c>
      <c r="D188" s="6" t="s">
        <v>733</v>
      </c>
      <c r="E188" s="13" t="n">
        <v>1730.96</v>
      </c>
    </row>
    <row r="189" customFormat="false" ht="15" hidden="false" customHeight="false" outlineLevel="0" collapsed="false">
      <c r="B189" s="8" t="s">
        <v>735</v>
      </c>
      <c r="C189" s="14" t="n">
        <f aca="false">C188*$F$177/1000</f>
        <v>346.191666666667</v>
      </c>
      <c r="D189" s="6" t="s">
        <v>733</v>
      </c>
      <c r="E189" s="13" t="n">
        <v>346.19</v>
      </c>
    </row>
    <row r="190" customFormat="false" ht="15" hidden="false" customHeight="false" outlineLevel="0" collapsed="false">
      <c r="B190" s="8" t="s">
        <v>498</v>
      </c>
      <c r="C190" s="14" t="n">
        <f aca="false">SUMPRODUCT(H179:H186,D179:D186)/C187*100</f>
        <v>9.30851063829787</v>
      </c>
      <c r="D190" s="6" t="s">
        <v>733</v>
      </c>
      <c r="E190" s="13" t="n">
        <v>9.31</v>
      </c>
    </row>
    <row r="191" customFormat="false" ht="15" hidden="false" customHeight="false" outlineLevel="0" collapsed="false">
      <c r="B191" s="8" t="s">
        <v>736</v>
      </c>
      <c r="C191" s="14" t="n">
        <f aca="false">SUM(J179:J186)+SUM(K179:K186)+$D$177*(SUMPRODUCT(G179:G186,J179:J186)+SUMPRODUCT(G179:G186,K179:K186))</f>
        <v>80.66</v>
      </c>
      <c r="D191" s="6" t="s">
        <v>733</v>
      </c>
      <c r="E191" s="13" t="n">
        <v>80.66</v>
      </c>
    </row>
    <row r="192" customFormat="false" ht="15" hidden="false" customHeight="false" outlineLevel="0" collapsed="false">
      <c r="B192" s="8" t="s">
        <v>737</v>
      </c>
      <c r="C192" s="14" t="n">
        <f aca="false">(SUMPRODUCT(J179:J186,F179:F186)/60+$D$177*SUMPRODUCT(G179:G186,J179:J186,F179:F186)/60)*$F$177/1000</f>
        <v>197.685</v>
      </c>
      <c r="D192" s="6" t="s">
        <v>733</v>
      </c>
      <c r="E192" s="13" t="n">
        <v>197.69</v>
      </c>
    </row>
    <row r="193" customFormat="false" ht="15" hidden="false" customHeight="false" outlineLevel="0" collapsed="false">
      <c r="B193" s="8" t="s">
        <v>738</v>
      </c>
      <c r="C193" s="14" t="n">
        <f aca="false">12*(C189-C192)</f>
        <v>1782.08</v>
      </c>
      <c r="D193" s="6" t="s">
        <v>733</v>
      </c>
      <c r="E193" s="13" t="n">
        <v>1782.08</v>
      </c>
    </row>
    <row r="195" customFormat="false" ht="15" hidden="false" customHeight="false" outlineLevel="0" collapsed="false">
      <c r="A195" s="11" t="s">
        <v>775</v>
      </c>
    </row>
    <row r="196" customFormat="false" ht="15" hidden="false" customHeight="false" outlineLevel="0" collapsed="false">
      <c r="A196" s="6" t="s">
        <v>702</v>
      </c>
      <c r="B196" s="12" t="n">
        <v>0.15</v>
      </c>
      <c r="C196" s="6" t="s">
        <v>703</v>
      </c>
      <c r="D196" s="12" t="n">
        <v>0.05</v>
      </c>
      <c r="E196" s="6" t="s">
        <v>704</v>
      </c>
      <c r="F196" s="12" t="n">
        <v>500</v>
      </c>
    </row>
    <row r="197" customFormat="false" ht="15" hidden="false" customHeight="false" outlineLevel="0" collapsed="false">
      <c r="A197" s="5" t="s">
        <v>14</v>
      </c>
      <c r="B197" s="5" t="s">
        <v>705</v>
      </c>
      <c r="C197" s="5" t="s">
        <v>706</v>
      </c>
      <c r="D197" s="5" t="s">
        <v>707</v>
      </c>
      <c r="E197" s="5" t="s">
        <v>708</v>
      </c>
      <c r="F197" s="5" t="s">
        <v>709</v>
      </c>
      <c r="G197" s="5" t="s">
        <v>710</v>
      </c>
      <c r="H197" s="5" t="s">
        <v>711</v>
      </c>
      <c r="I197" s="5" t="s">
        <v>712</v>
      </c>
      <c r="J197" s="5" t="s">
        <v>713</v>
      </c>
      <c r="K197" s="5" t="s">
        <v>714</v>
      </c>
    </row>
    <row r="198" customFormat="false" ht="25.35" hidden="false" customHeight="false" outlineLevel="0" collapsed="false">
      <c r="A198" s="6" t="n">
        <v>1</v>
      </c>
      <c r="B198" s="6" t="s">
        <v>776</v>
      </c>
      <c r="C198" s="6" t="s">
        <v>716</v>
      </c>
      <c r="D198" s="12" t="n">
        <v>13</v>
      </c>
      <c r="E198" s="12" t="n">
        <v>30</v>
      </c>
      <c r="F198" s="12" t="n">
        <v>650</v>
      </c>
      <c r="G198" s="12" t="n">
        <v>1</v>
      </c>
      <c r="H198" s="12" t="n">
        <v>0</v>
      </c>
      <c r="I198" s="7" t="s">
        <v>717</v>
      </c>
      <c r="J198" s="13" t="n">
        <f aca="false">IF(I198="X",0,IF(I198="A",0.2*D198,D198))</f>
        <v>2.6</v>
      </c>
      <c r="K198" s="13" t="n">
        <f aca="false">IF(I198="K",E198,0)</f>
        <v>0</v>
      </c>
    </row>
    <row r="199" customFormat="false" ht="15" hidden="false" customHeight="false" outlineLevel="0" collapsed="false">
      <c r="A199" s="6" t="n">
        <v>2</v>
      </c>
      <c r="B199" s="6" t="s">
        <v>777</v>
      </c>
      <c r="C199" s="6" t="s">
        <v>719</v>
      </c>
      <c r="D199" s="12" t="n">
        <v>8</v>
      </c>
      <c r="E199" s="12" t="n">
        <v>76</v>
      </c>
      <c r="F199" s="12" t="n">
        <v>450</v>
      </c>
      <c r="G199" s="12" t="n">
        <v>1</v>
      </c>
      <c r="H199" s="12" t="n">
        <v>0</v>
      </c>
      <c r="I199" s="7" t="s">
        <v>720</v>
      </c>
      <c r="J199" s="13" t="n">
        <f aca="false">IF(I199="X",0,IF(I199="A",0.2*D199,D199))</f>
        <v>0</v>
      </c>
      <c r="K199" s="13" t="n">
        <f aca="false">IF(I199="K",E199,0)</f>
        <v>0</v>
      </c>
    </row>
    <row r="200" customFormat="false" ht="25.35" hidden="false" customHeight="false" outlineLevel="0" collapsed="false">
      <c r="A200" s="6" t="n">
        <v>3</v>
      </c>
      <c r="B200" s="6" t="s">
        <v>721</v>
      </c>
      <c r="C200" s="6" t="s">
        <v>722</v>
      </c>
      <c r="D200" s="12" t="n">
        <v>15</v>
      </c>
      <c r="E200" s="12" t="n">
        <v>46</v>
      </c>
      <c r="F200" s="12" t="n">
        <v>700</v>
      </c>
      <c r="G200" s="12" t="n">
        <v>1</v>
      </c>
      <c r="H200" s="12" t="n">
        <v>0</v>
      </c>
      <c r="I200" s="7" t="s">
        <v>717</v>
      </c>
      <c r="J200" s="13" t="n">
        <f aca="false">IF(I200="X",0,IF(I200="A",0.2*D200,D200))</f>
        <v>3</v>
      </c>
      <c r="K200" s="13" t="n">
        <f aca="false">IF(I200="K",E200,0)</f>
        <v>0</v>
      </c>
    </row>
    <row r="201" customFormat="false" ht="15" hidden="false" customHeight="false" outlineLevel="0" collapsed="false">
      <c r="A201" s="6" t="n">
        <v>4</v>
      </c>
      <c r="B201" s="6" t="s">
        <v>723</v>
      </c>
      <c r="C201" s="6" t="s">
        <v>724</v>
      </c>
      <c r="D201" s="12" t="n">
        <v>6</v>
      </c>
      <c r="E201" s="12" t="n">
        <v>245</v>
      </c>
      <c r="F201" s="12" t="n">
        <v>1600</v>
      </c>
      <c r="G201" s="12" t="n">
        <v>0</v>
      </c>
      <c r="H201" s="12" t="n">
        <v>0</v>
      </c>
      <c r="I201" s="7" t="s">
        <v>720</v>
      </c>
      <c r="J201" s="13" t="n">
        <f aca="false">IF(I201="X",0,IF(I201="A",0.2*D201,D201))</f>
        <v>0</v>
      </c>
      <c r="K201" s="13" t="n">
        <f aca="false">IF(I201="K",E201,0)</f>
        <v>0</v>
      </c>
    </row>
    <row r="202" customFormat="false" ht="15" hidden="false" customHeight="false" outlineLevel="0" collapsed="false">
      <c r="A202" s="6" t="n">
        <v>5</v>
      </c>
      <c r="B202" s="6" t="s">
        <v>725</v>
      </c>
      <c r="C202" s="6" t="s">
        <v>726</v>
      </c>
      <c r="D202" s="12" t="n">
        <v>9</v>
      </c>
      <c r="E202" s="12" t="n">
        <v>32</v>
      </c>
      <c r="F202" s="12" t="n">
        <v>600</v>
      </c>
      <c r="G202" s="12" t="n">
        <v>0</v>
      </c>
      <c r="H202" s="12" t="n">
        <v>0</v>
      </c>
      <c r="I202" s="7" t="s">
        <v>717</v>
      </c>
      <c r="J202" s="13" t="n">
        <f aca="false">IF(I202="X",0,IF(I202="A",0.2*D202,D202))</f>
        <v>1.8</v>
      </c>
      <c r="K202" s="13" t="n">
        <f aca="false">IF(I202="K",E202,0)</f>
        <v>0</v>
      </c>
    </row>
    <row r="203" customFormat="false" ht="15" hidden="false" customHeight="false" outlineLevel="0" collapsed="false">
      <c r="A203" s="6" t="n">
        <v>6</v>
      </c>
      <c r="B203" s="6" t="s">
        <v>727</v>
      </c>
      <c r="C203" s="6" t="s">
        <v>726</v>
      </c>
      <c r="D203" s="12" t="n">
        <v>4</v>
      </c>
      <c r="E203" s="12" t="n">
        <v>0</v>
      </c>
      <c r="F203" s="12" t="n">
        <v>600</v>
      </c>
      <c r="G203" s="12" t="n">
        <v>0</v>
      </c>
      <c r="H203" s="12" t="n">
        <v>0</v>
      </c>
      <c r="I203" s="7" t="s">
        <v>720</v>
      </c>
      <c r="J203" s="13" t="n">
        <f aca="false">IF(I203="X",0,IF(I203="A",0.2*D203,D203))</f>
        <v>0</v>
      </c>
      <c r="K203" s="13" t="n">
        <f aca="false">IF(I203="K",E203,0)</f>
        <v>0</v>
      </c>
    </row>
    <row r="204" customFormat="false" ht="15" hidden="false" customHeight="false" outlineLevel="0" collapsed="false">
      <c r="A204" s="6" t="n">
        <v>7</v>
      </c>
      <c r="B204" s="6" t="s">
        <v>778</v>
      </c>
      <c r="C204" s="6" t="s">
        <v>729</v>
      </c>
      <c r="D204" s="12" t="n">
        <v>59</v>
      </c>
      <c r="E204" s="12" t="n">
        <v>0</v>
      </c>
      <c r="F204" s="12" t="n">
        <v>750</v>
      </c>
      <c r="G204" s="12" t="n">
        <v>0</v>
      </c>
      <c r="H204" s="12" t="n">
        <v>1</v>
      </c>
      <c r="I204" s="7" t="s">
        <v>730</v>
      </c>
      <c r="J204" s="13" t="n">
        <f aca="false">IF(I204="X",0,IF(I204="A",0.2*D204,D204))</f>
        <v>59</v>
      </c>
      <c r="K204" s="13" t="n">
        <f aca="false">IF(I204="K",E204,0)</f>
        <v>0</v>
      </c>
    </row>
    <row r="205" customFormat="false" ht="15" hidden="false" customHeight="false" outlineLevel="0" collapsed="false">
      <c r="A205" s="6" t="n">
        <v>8</v>
      </c>
      <c r="B205" s="6" t="s">
        <v>731</v>
      </c>
      <c r="C205" s="6" t="s">
        <v>726</v>
      </c>
      <c r="D205" s="12" t="n">
        <v>13</v>
      </c>
      <c r="E205" s="12" t="n">
        <v>137</v>
      </c>
      <c r="F205" s="12" t="n">
        <v>600</v>
      </c>
      <c r="G205" s="12" t="n">
        <v>0</v>
      </c>
      <c r="H205" s="12" t="n">
        <v>0</v>
      </c>
      <c r="I205" s="7" t="s">
        <v>717</v>
      </c>
      <c r="J205" s="13" t="n">
        <f aca="false">IF(I205="X",0,IF(I205="A",0.2*D205,D205))</f>
        <v>2.6</v>
      </c>
      <c r="K205" s="13" t="n">
        <f aca="false">IF(I205="K",E205,0)</f>
        <v>0</v>
      </c>
    </row>
    <row r="206" customFormat="false" ht="15" hidden="false" customHeight="false" outlineLevel="0" collapsed="false">
      <c r="B206" s="8" t="s">
        <v>732</v>
      </c>
      <c r="C206" s="14" t="n">
        <f aca="false">SUM(D198:D205)+SUM(E198:E205)+$B$196*(SUMPRODUCT(G198:G205,D198:D205)+SUMPRODUCT(G198:G205,E198:E205))</f>
        <v>721.2</v>
      </c>
      <c r="D206" s="6" t="s">
        <v>733</v>
      </c>
      <c r="E206" s="13" t="n">
        <v>721.2</v>
      </c>
    </row>
    <row r="207" customFormat="false" ht="15" hidden="false" customHeight="false" outlineLevel="0" collapsed="false">
      <c r="B207" s="8" t="s">
        <v>734</v>
      </c>
      <c r="C207" s="14" t="n">
        <f aca="false">SUMPRODUCT(D198:D205,F198:F205)/60+$B$196*SUMPRODUCT(G198:G205,D198:D205,F198:F205)/60</f>
        <v>1589.70833333333</v>
      </c>
      <c r="D207" s="6" t="s">
        <v>733</v>
      </c>
      <c r="E207" s="13" t="n">
        <v>1589.71</v>
      </c>
    </row>
    <row r="208" customFormat="false" ht="15" hidden="false" customHeight="false" outlineLevel="0" collapsed="false">
      <c r="B208" s="8" t="s">
        <v>735</v>
      </c>
      <c r="C208" s="14" t="n">
        <f aca="false">C207*$F$196/1000</f>
        <v>794.854166666667</v>
      </c>
      <c r="D208" s="6" t="s">
        <v>733</v>
      </c>
      <c r="E208" s="13" t="n">
        <v>794.85</v>
      </c>
    </row>
    <row r="209" customFormat="false" ht="15" hidden="false" customHeight="false" outlineLevel="0" collapsed="false">
      <c r="B209" s="8" t="s">
        <v>498</v>
      </c>
      <c r="C209" s="14" t="n">
        <f aca="false">SUMPRODUCT(H198:H205,D198:D205)/C206*100</f>
        <v>8.1808097615086</v>
      </c>
      <c r="D209" s="6" t="s">
        <v>733</v>
      </c>
      <c r="E209" s="13" t="n">
        <v>8.18</v>
      </c>
    </row>
    <row r="210" customFormat="false" ht="15" hidden="false" customHeight="false" outlineLevel="0" collapsed="false">
      <c r="B210" s="8" t="s">
        <v>736</v>
      </c>
      <c r="C210" s="14" t="n">
        <f aca="false">SUM(J198:J205)+SUM(K198:K205)+$D$196*(SUMPRODUCT(G198:G205,J198:J205)+SUMPRODUCT(G198:G205,K198:K205))</f>
        <v>69.28</v>
      </c>
      <c r="D210" s="6" t="s">
        <v>733</v>
      </c>
      <c r="E210" s="13" t="n">
        <v>69.28</v>
      </c>
    </row>
    <row r="211" customFormat="false" ht="15" hidden="false" customHeight="false" outlineLevel="0" collapsed="false">
      <c r="B211" s="8" t="s">
        <v>737</v>
      </c>
      <c r="C211" s="14" t="n">
        <f aca="false">(SUMPRODUCT(J198:J205,F198:F205)/60+$D$196*SUMPRODUCT(G198:G205,J198:J205,F198:F205)/60)*$F$196/1000</f>
        <v>423.9125</v>
      </c>
      <c r="D211" s="6" t="s">
        <v>733</v>
      </c>
      <c r="E211" s="13" t="n">
        <v>423.91</v>
      </c>
    </row>
    <row r="212" customFormat="false" ht="15" hidden="false" customHeight="false" outlineLevel="0" collapsed="false">
      <c r="B212" s="8" t="s">
        <v>738</v>
      </c>
      <c r="C212" s="14" t="n">
        <f aca="false">12*(C208-C211)</f>
        <v>4451.3</v>
      </c>
      <c r="D212" s="6" t="s">
        <v>733</v>
      </c>
      <c r="E212" s="13" t="n">
        <v>4451.3</v>
      </c>
    </row>
    <row r="214" customFormat="false" ht="15" hidden="false" customHeight="false" outlineLevel="0" collapsed="false">
      <c r="A214" s="11" t="s">
        <v>779</v>
      </c>
    </row>
    <row r="215" customFormat="false" ht="15" hidden="false" customHeight="false" outlineLevel="0" collapsed="false">
      <c r="A215" s="6" t="s">
        <v>702</v>
      </c>
      <c r="B215" s="12" t="n">
        <v>0.2</v>
      </c>
      <c r="C215" s="6" t="s">
        <v>703</v>
      </c>
      <c r="D215" s="12" t="n">
        <v>0.05</v>
      </c>
      <c r="E215" s="6" t="s">
        <v>704</v>
      </c>
      <c r="F215" s="12" t="n">
        <v>600</v>
      </c>
    </row>
    <row r="216" customFormat="false" ht="15" hidden="false" customHeight="false" outlineLevel="0" collapsed="false">
      <c r="A216" s="5" t="s">
        <v>14</v>
      </c>
      <c r="B216" s="5" t="s">
        <v>705</v>
      </c>
      <c r="C216" s="5" t="s">
        <v>706</v>
      </c>
      <c r="D216" s="5" t="s">
        <v>707</v>
      </c>
      <c r="E216" s="5" t="s">
        <v>708</v>
      </c>
      <c r="F216" s="5" t="s">
        <v>709</v>
      </c>
      <c r="G216" s="5" t="s">
        <v>710</v>
      </c>
      <c r="H216" s="5" t="s">
        <v>711</v>
      </c>
      <c r="I216" s="5" t="s">
        <v>712</v>
      </c>
      <c r="J216" s="5" t="s">
        <v>713</v>
      </c>
      <c r="K216" s="5" t="s">
        <v>714</v>
      </c>
    </row>
    <row r="217" customFormat="false" ht="25.35" hidden="false" customHeight="false" outlineLevel="0" collapsed="false">
      <c r="A217" s="6" t="n">
        <v>1</v>
      </c>
      <c r="B217" s="6" t="s">
        <v>780</v>
      </c>
      <c r="C217" s="6" t="s">
        <v>716</v>
      </c>
      <c r="D217" s="12" t="n">
        <v>13</v>
      </c>
      <c r="E217" s="12" t="n">
        <v>30</v>
      </c>
      <c r="F217" s="12" t="n">
        <v>650</v>
      </c>
      <c r="G217" s="12" t="n">
        <v>1</v>
      </c>
      <c r="H217" s="12" t="n">
        <v>0</v>
      </c>
      <c r="I217" s="7" t="s">
        <v>717</v>
      </c>
      <c r="J217" s="13" t="n">
        <f aca="false">IF(I217="X",0,IF(I217="A",0.2*D217,D217))</f>
        <v>2.6</v>
      </c>
      <c r="K217" s="13" t="n">
        <f aca="false">IF(I217="K",E217,0)</f>
        <v>0</v>
      </c>
    </row>
    <row r="218" customFormat="false" ht="15" hidden="false" customHeight="false" outlineLevel="0" collapsed="false">
      <c r="A218" s="6" t="n">
        <v>2</v>
      </c>
      <c r="B218" s="6" t="s">
        <v>781</v>
      </c>
      <c r="C218" s="6" t="s">
        <v>719</v>
      </c>
      <c r="D218" s="12" t="n">
        <v>12</v>
      </c>
      <c r="E218" s="12" t="n">
        <v>49</v>
      </c>
      <c r="F218" s="12" t="n">
        <v>450</v>
      </c>
      <c r="G218" s="12" t="n">
        <v>1</v>
      </c>
      <c r="H218" s="12" t="n">
        <v>0</v>
      </c>
      <c r="I218" s="7" t="s">
        <v>720</v>
      </c>
      <c r="J218" s="13" t="n">
        <f aca="false">IF(I218="X",0,IF(I218="A",0.2*D218,D218))</f>
        <v>0</v>
      </c>
      <c r="K218" s="13" t="n">
        <f aca="false">IF(I218="K",E218,0)</f>
        <v>0</v>
      </c>
    </row>
    <row r="219" customFormat="false" ht="25.35" hidden="false" customHeight="false" outlineLevel="0" collapsed="false">
      <c r="A219" s="6" t="n">
        <v>3</v>
      </c>
      <c r="B219" s="6" t="s">
        <v>721</v>
      </c>
      <c r="C219" s="6" t="s">
        <v>722</v>
      </c>
      <c r="D219" s="12" t="n">
        <v>16</v>
      </c>
      <c r="E219" s="12" t="n">
        <v>51</v>
      </c>
      <c r="F219" s="12" t="n">
        <v>700</v>
      </c>
      <c r="G219" s="12" t="n">
        <v>1</v>
      </c>
      <c r="H219" s="12" t="n">
        <v>0</v>
      </c>
      <c r="I219" s="7" t="s">
        <v>717</v>
      </c>
      <c r="J219" s="13" t="n">
        <f aca="false">IF(I219="X",0,IF(I219="A",0.2*D219,D219))</f>
        <v>3.2</v>
      </c>
      <c r="K219" s="13" t="n">
        <f aca="false">IF(I219="K",E219,0)</f>
        <v>0</v>
      </c>
    </row>
    <row r="220" customFormat="false" ht="15" hidden="false" customHeight="false" outlineLevel="0" collapsed="false">
      <c r="A220" s="6" t="n">
        <v>4</v>
      </c>
      <c r="B220" s="6" t="s">
        <v>723</v>
      </c>
      <c r="C220" s="6" t="s">
        <v>724</v>
      </c>
      <c r="D220" s="12" t="n">
        <v>5</v>
      </c>
      <c r="E220" s="12" t="n">
        <v>185</v>
      </c>
      <c r="F220" s="12" t="n">
        <v>1600</v>
      </c>
      <c r="G220" s="12" t="n">
        <v>0</v>
      </c>
      <c r="H220" s="12" t="n">
        <v>0</v>
      </c>
      <c r="I220" s="7" t="s">
        <v>720</v>
      </c>
      <c r="J220" s="13" t="n">
        <f aca="false">IF(I220="X",0,IF(I220="A",0.2*D220,D220))</f>
        <v>0</v>
      </c>
      <c r="K220" s="13" t="n">
        <f aca="false">IF(I220="K",E220,0)</f>
        <v>0</v>
      </c>
    </row>
    <row r="221" customFormat="false" ht="15" hidden="false" customHeight="false" outlineLevel="0" collapsed="false">
      <c r="A221" s="6" t="n">
        <v>5</v>
      </c>
      <c r="B221" s="6" t="s">
        <v>725</v>
      </c>
      <c r="C221" s="6" t="s">
        <v>726</v>
      </c>
      <c r="D221" s="12" t="n">
        <v>9</v>
      </c>
      <c r="E221" s="12" t="n">
        <v>34</v>
      </c>
      <c r="F221" s="12" t="n">
        <v>600</v>
      </c>
      <c r="G221" s="12" t="n">
        <v>0</v>
      </c>
      <c r="H221" s="12" t="n">
        <v>0</v>
      </c>
      <c r="I221" s="7" t="s">
        <v>717</v>
      </c>
      <c r="J221" s="13" t="n">
        <f aca="false">IF(I221="X",0,IF(I221="A",0.2*D221,D221))</f>
        <v>1.8</v>
      </c>
      <c r="K221" s="13" t="n">
        <f aca="false">IF(I221="K",E221,0)</f>
        <v>0</v>
      </c>
    </row>
    <row r="222" customFormat="false" ht="15" hidden="false" customHeight="false" outlineLevel="0" collapsed="false">
      <c r="A222" s="6" t="n">
        <v>6</v>
      </c>
      <c r="B222" s="6" t="s">
        <v>727</v>
      </c>
      <c r="C222" s="6" t="s">
        <v>726</v>
      </c>
      <c r="D222" s="12" t="n">
        <v>3</v>
      </c>
      <c r="E222" s="12" t="n">
        <v>0</v>
      </c>
      <c r="F222" s="12" t="n">
        <v>600</v>
      </c>
      <c r="G222" s="12" t="n">
        <v>0</v>
      </c>
      <c r="H222" s="12" t="n">
        <v>0</v>
      </c>
      <c r="I222" s="7" t="s">
        <v>720</v>
      </c>
      <c r="J222" s="13" t="n">
        <f aca="false">IF(I222="X",0,IF(I222="A",0.2*D222,D222))</f>
        <v>0</v>
      </c>
      <c r="K222" s="13" t="n">
        <f aca="false">IF(I222="K",E222,0)</f>
        <v>0</v>
      </c>
    </row>
    <row r="223" customFormat="false" ht="15" hidden="false" customHeight="false" outlineLevel="0" collapsed="false">
      <c r="A223" s="6" t="n">
        <v>7</v>
      </c>
      <c r="B223" s="6" t="s">
        <v>782</v>
      </c>
      <c r="C223" s="6" t="s">
        <v>729</v>
      </c>
      <c r="D223" s="12" t="n">
        <v>61</v>
      </c>
      <c r="E223" s="12" t="n">
        <v>0</v>
      </c>
      <c r="F223" s="12" t="n">
        <v>750</v>
      </c>
      <c r="G223" s="12" t="n">
        <v>0</v>
      </c>
      <c r="H223" s="12" t="n">
        <v>1</v>
      </c>
      <c r="I223" s="7" t="s">
        <v>730</v>
      </c>
      <c r="J223" s="13" t="n">
        <f aca="false">IF(I223="X",0,IF(I223="A",0.2*D223,D223))</f>
        <v>61</v>
      </c>
      <c r="K223" s="13" t="n">
        <f aca="false">IF(I223="K",E223,0)</f>
        <v>0</v>
      </c>
    </row>
    <row r="224" customFormat="false" ht="15" hidden="false" customHeight="false" outlineLevel="0" collapsed="false">
      <c r="A224" s="6" t="n">
        <v>8</v>
      </c>
      <c r="B224" s="6" t="s">
        <v>731</v>
      </c>
      <c r="C224" s="6" t="s">
        <v>726</v>
      </c>
      <c r="D224" s="12" t="n">
        <v>15</v>
      </c>
      <c r="E224" s="12" t="n">
        <v>99</v>
      </c>
      <c r="F224" s="12" t="n">
        <v>600</v>
      </c>
      <c r="G224" s="12" t="n">
        <v>0</v>
      </c>
      <c r="H224" s="12" t="n">
        <v>0</v>
      </c>
      <c r="I224" s="7" t="s">
        <v>717</v>
      </c>
      <c r="J224" s="13" t="n">
        <f aca="false">IF(I224="X",0,IF(I224="A",0.2*D224,D224))</f>
        <v>3</v>
      </c>
      <c r="K224" s="13" t="n">
        <f aca="false">IF(I224="K",E224,0)</f>
        <v>0</v>
      </c>
    </row>
    <row r="225" customFormat="false" ht="15" hidden="false" customHeight="false" outlineLevel="0" collapsed="false">
      <c r="B225" s="8" t="s">
        <v>732</v>
      </c>
      <c r="C225" s="14" t="n">
        <f aca="false">SUM(D217:D224)+SUM(E217:E224)+$B$215*(SUMPRODUCT(G217:G224,D217:D224)+SUMPRODUCT(G217:G224,E217:E224))</f>
        <v>616.2</v>
      </c>
      <c r="D225" s="6" t="s">
        <v>733</v>
      </c>
      <c r="E225" s="13" t="n">
        <v>616.2</v>
      </c>
    </row>
    <row r="226" customFormat="false" ht="15" hidden="false" customHeight="false" outlineLevel="0" collapsed="false">
      <c r="B226" s="8" t="s">
        <v>734</v>
      </c>
      <c r="C226" s="14" t="n">
        <f aca="false">SUMPRODUCT(D217:D224,F217:F224)/60+$B$215*SUMPRODUCT(G217:G224,D217:D224,F217:F224)/60</f>
        <v>1666.83333333333</v>
      </c>
      <c r="D226" s="6" t="s">
        <v>733</v>
      </c>
      <c r="E226" s="13" t="n">
        <v>1666.83</v>
      </c>
    </row>
    <row r="227" customFormat="false" ht="15" hidden="false" customHeight="false" outlineLevel="0" collapsed="false">
      <c r="B227" s="8" t="s">
        <v>735</v>
      </c>
      <c r="C227" s="14" t="n">
        <f aca="false">C226*$F$215/1000</f>
        <v>1000.1</v>
      </c>
      <c r="D227" s="6" t="s">
        <v>733</v>
      </c>
      <c r="E227" s="13" t="n">
        <v>1000.1</v>
      </c>
    </row>
    <row r="228" customFormat="false" ht="15" hidden="false" customHeight="false" outlineLevel="0" collapsed="false">
      <c r="B228" s="8" t="s">
        <v>498</v>
      </c>
      <c r="C228" s="14" t="n">
        <f aca="false">SUMPRODUCT(H217:H224,D217:D224)/C225*100</f>
        <v>9.89938331710484</v>
      </c>
      <c r="D228" s="6" t="s">
        <v>733</v>
      </c>
      <c r="E228" s="13" t="n">
        <v>9.9</v>
      </c>
    </row>
    <row r="229" customFormat="false" ht="15" hidden="false" customHeight="false" outlineLevel="0" collapsed="false">
      <c r="B229" s="8" t="s">
        <v>736</v>
      </c>
      <c r="C229" s="14" t="n">
        <f aca="false">SUM(J217:J224)+SUM(K217:K224)+$D$215*(SUMPRODUCT(G217:G224,J217:J224)+SUMPRODUCT(G217:G224,K217:K224))</f>
        <v>71.89</v>
      </c>
      <c r="D229" s="6" t="s">
        <v>733</v>
      </c>
      <c r="E229" s="13" t="n">
        <v>71.89</v>
      </c>
    </row>
    <row r="230" customFormat="false" ht="15" hidden="false" customHeight="false" outlineLevel="0" collapsed="false">
      <c r="B230" s="8" t="s">
        <v>737</v>
      </c>
      <c r="C230" s="14" t="n">
        <f aca="false">(SUMPRODUCT(J217:J224,F217:F224)/60+$D$215*SUMPRODUCT(G217:G224,J217:J224,F217:F224)/60)*$F$215/1000</f>
        <v>527.565</v>
      </c>
      <c r="D230" s="6" t="s">
        <v>733</v>
      </c>
      <c r="E230" s="13" t="n">
        <v>527.57</v>
      </c>
    </row>
    <row r="231" customFormat="false" ht="15" hidden="false" customHeight="false" outlineLevel="0" collapsed="false">
      <c r="B231" s="8" t="s">
        <v>738</v>
      </c>
      <c r="C231" s="14" t="n">
        <f aca="false">12*(C227-C230)</f>
        <v>5670.42</v>
      </c>
      <c r="D231" s="6" t="s">
        <v>733</v>
      </c>
      <c r="E231" s="13" t="n">
        <v>5670.42</v>
      </c>
    </row>
  </sheetData>
  <mergeCells count="1"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783</v>
      </c>
    </row>
    <row r="3" customFormat="false" ht="45.75" hidden="false" customHeight="true" outlineLevel="0" collapsed="false">
      <c r="A3" s="9" t="s">
        <v>784</v>
      </c>
      <c r="B3" s="9"/>
      <c r="C3" s="9"/>
      <c r="D3" s="9"/>
      <c r="E3" s="9"/>
      <c r="F3" s="9"/>
      <c r="G3" s="9"/>
    </row>
    <row r="5" customFormat="false" ht="15" hidden="false" customHeight="false" outlineLevel="0" collapsed="false">
      <c r="A5" s="11" t="s">
        <v>701</v>
      </c>
    </row>
    <row r="6" customFormat="false" ht="25.35" hidden="false" customHeight="false" outlineLevel="0" collapsed="false">
      <c r="A6" s="5" t="s">
        <v>785</v>
      </c>
      <c r="B6" s="5" t="s">
        <v>786</v>
      </c>
      <c r="C6" s="5" t="s">
        <v>787</v>
      </c>
      <c r="D6" s="5" t="s">
        <v>788</v>
      </c>
    </row>
    <row r="7" customFormat="false" ht="25.35" hidden="false" customHeight="false" outlineLevel="0" collapsed="false">
      <c r="A7" s="6" t="s">
        <v>624</v>
      </c>
      <c r="B7" s="12" t="n">
        <v>0.2</v>
      </c>
      <c r="C7" s="12" t="n">
        <v>3</v>
      </c>
      <c r="D7" s="13" t="n">
        <f aca="false">B7*(5-C7)</f>
        <v>0.4</v>
      </c>
    </row>
    <row r="8" customFormat="false" ht="15" hidden="false" customHeight="false" outlineLevel="0" collapsed="false">
      <c r="A8" s="6" t="s">
        <v>622</v>
      </c>
      <c r="B8" s="12" t="n">
        <v>0.2</v>
      </c>
      <c r="C8" s="12" t="n">
        <v>2</v>
      </c>
      <c r="D8" s="13" t="n">
        <f aca="false">B8*(5-C8)</f>
        <v>0.6</v>
      </c>
    </row>
    <row r="9" customFormat="false" ht="15" hidden="false" customHeight="false" outlineLevel="0" collapsed="false">
      <c r="A9" s="6" t="s">
        <v>623</v>
      </c>
      <c r="B9" s="12" t="n">
        <v>0.15</v>
      </c>
      <c r="C9" s="12" t="n">
        <v>4</v>
      </c>
      <c r="D9" s="13" t="n">
        <f aca="false">B9*(5-C9)</f>
        <v>0.15</v>
      </c>
    </row>
    <row r="10" customFormat="false" ht="15" hidden="false" customHeight="false" outlineLevel="0" collapsed="false">
      <c r="A10" s="6" t="s">
        <v>789</v>
      </c>
      <c r="B10" s="12" t="n">
        <v>0.15</v>
      </c>
      <c r="C10" s="12" t="n">
        <v>4</v>
      </c>
      <c r="D10" s="13" t="n">
        <f aca="false">B10*(5-C10)</f>
        <v>0.15</v>
      </c>
    </row>
    <row r="11" customFormat="false" ht="15" hidden="false" customHeight="false" outlineLevel="0" collapsed="false">
      <c r="A11" s="6" t="s">
        <v>625</v>
      </c>
      <c r="B11" s="12" t="n">
        <v>0.15</v>
      </c>
      <c r="C11" s="12" t="n">
        <v>4</v>
      </c>
      <c r="D11" s="13" t="n">
        <f aca="false">B11*(5-C11)</f>
        <v>0.15</v>
      </c>
    </row>
    <row r="12" customFormat="false" ht="15" hidden="false" customHeight="false" outlineLevel="0" collapsed="false">
      <c r="A12" s="6" t="s">
        <v>790</v>
      </c>
      <c r="B12" s="12" t="n">
        <v>0.15</v>
      </c>
      <c r="C12" s="12" t="n">
        <v>2</v>
      </c>
      <c r="D12" s="13" t="n">
        <f aca="false">B12*(5-C12)</f>
        <v>0.45</v>
      </c>
    </row>
    <row r="13" customFormat="false" ht="15" hidden="false" customHeight="false" outlineLevel="0" collapsed="false">
      <c r="A13" s="8" t="s">
        <v>611</v>
      </c>
      <c r="B13" s="14" t="n">
        <f aca="false">SUMPRODUCT(B7:B12,C7:C12)/5*100</f>
        <v>62</v>
      </c>
      <c r="C13" s="6" t="s">
        <v>733</v>
      </c>
      <c r="D13" s="6" t="n">
        <v>62</v>
      </c>
    </row>
    <row r="14" customFormat="false" ht="25.35" hidden="false" customHeight="false" outlineLevel="0" collapsed="false">
      <c r="A14" s="8" t="s">
        <v>791</v>
      </c>
      <c r="B14" s="7" t="str">
        <f aca="false">INDEX(A7:A12,MATCH(MAX(D7:D12),D7:D12,0))</f>
        <v>Бизнес-процессы</v>
      </c>
    </row>
    <row r="16" customFormat="false" ht="15" hidden="false" customHeight="false" outlineLevel="0" collapsed="false">
      <c r="A16" s="5" t="s">
        <v>792</v>
      </c>
      <c r="B16" s="5" t="s">
        <v>793</v>
      </c>
      <c r="C16" s="5" t="s">
        <v>794</v>
      </c>
      <c r="D16" s="5" t="s">
        <v>795</v>
      </c>
      <c r="E16" s="5" t="s">
        <v>796</v>
      </c>
      <c r="F16" s="5" t="s">
        <v>797</v>
      </c>
      <c r="G16" s="5" t="s">
        <v>798</v>
      </c>
    </row>
    <row r="17" customFormat="false" ht="15" hidden="false" customHeight="false" outlineLevel="0" collapsed="false">
      <c r="A17" s="6" t="s">
        <v>662</v>
      </c>
      <c r="B17" s="12" t="n">
        <v>2.21</v>
      </c>
      <c r="C17" s="12" t="n">
        <v>0.43</v>
      </c>
      <c r="D17" s="12" t="n">
        <v>2.39</v>
      </c>
      <c r="E17" s="12" t="n">
        <v>2.55</v>
      </c>
      <c r="F17" s="12" t="n">
        <v>2.35</v>
      </c>
      <c r="G17" s="14" t="n">
        <f aca="false">-B17+(D17-C17)/1.15+(E17-C17)/1.15^2+(F17-C17)/1.15^3</f>
        <v>2.35980356702556</v>
      </c>
    </row>
    <row r="18" customFormat="false" ht="15" hidden="false" customHeight="false" outlineLevel="0" collapsed="false">
      <c r="A18" s="6" t="s">
        <v>661</v>
      </c>
      <c r="B18" s="12" t="n">
        <v>0.4</v>
      </c>
      <c r="C18" s="12" t="n">
        <v>1.53</v>
      </c>
      <c r="D18" s="12" t="n">
        <v>2.6</v>
      </c>
      <c r="E18" s="12" t="n">
        <v>2.32</v>
      </c>
      <c r="F18" s="12" t="n">
        <v>2.38</v>
      </c>
      <c r="G18" s="14" t="n">
        <f aca="false">-B18+(D18-C18)/1.15+(E18-C18)/1.15^2+(F18-C18)/1.15^3</f>
        <v>1.68667707734035</v>
      </c>
    </row>
    <row r="19" customFormat="false" ht="15" hidden="false" customHeight="false" outlineLevel="0" collapsed="false">
      <c r="A19" s="6" t="s">
        <v>660</v>
      </c>
      <c r="B19" s="12" t="n">
        <v>2.49</v>
      </c>
      <c r="C19" s="12" t="n">
        <v>0.3</v>
      </c>
      <c r="D19" s="12" t="n">
        <v>0</v>
      </c>
      <c r="E19" s="12" t="n">
        <v>3.81</v>
      </c>
      <c r="F19" s="12" t="n">
        <v>4.22</v>
      </c>
      <c r="G19" s="14" t="n">
        <f aca="false">-B19+(D19-C19)/1.15+(E19-C19)/1.15^2+(F19-C19)/1.15^3</f>
        <v>2.48065833812772</v>
      </c>
    </row>
    <row r="20" customFormat="false" ht="25.35" hidden="false" customHeight="false" outlineLevel="0" collapsed="false">
      <c r="A20" s="8" t="s">
        <v>799</v>
      </c>
      <c r="G20" s="7" t="str">
        <f aca="false">INDEX(A17:A19,MATCH(MAX(G17:G19),G17:G19,0))</f>
        <v>Разработать своими силами</v>
      </c>
    </row>
    <row r="22" customFormat="false" ht="15" hidden="false" customHeight="false" outlineLevel="0" collapsed="false">
      <c r="A22" s="6" t="s">
        <v>800</v>
      </c>
      <c r="B22" s="12" t="n">
        <v>1680</v>
      </c>
    </row>
    <row r="23" customFormat="false" ht="15" hidden="false" customHeight="false" outlineLevel="0" collapsed="false">
      <c r="A23" s="6" t="s">
        <v>801</v>
      </c>
      <c r="B23" s="12" t="n">
        <v>11</v>
      </c>
    </row>
    <row r="24" customFormat="false" ht="25.35" hidden="false" customHeight="false" outlineLevel="0" collapsed="false">
      <c r="A24" s="6" t="s">
        <v>802</v>
      </c>
      <c r="B24" s="12" t="n">
        <v>600</v>
      </c>
      <c r="C24" s="12" t="n">
        <v>180</v>
      </c>
      <c r="D24" s="12" t="n">
        <v>350</v>
      </c>
    </row>
    <row r="25" customFormat="false" ht="15" hidden="false" customHeight="false" outlineLevel="0" collapsed="false">
      <c r="A25" s="8" t="s">
        <v>803</v>
      </c>
      <c r="B25" s="14" t="n">
        <f aca="false">12*B22*B23/60*B24*0.8/1000-C24</f>
        <v>1594.08</v>
      </c>
    </row>
    <row r="26" customFormat="false" ht="15" hidden="false" customHeight="false" outlineLevel="0" collapsed="false">
      <c r="A26" s="8" t="s">
        <v>804</v>
      </c>
      <c r="B26" s="14" t="n">
        <f aca="false">D24/(B25/12)</f>
        <v>2.63474856970792</v>
      </c>
    </row>
    <row r="28" customFormat="false" ht="15" hidden="false" customHeight="false" outlineLevel="0" collapsed="false">
      <c r="A28" s="11" t="s">
        <v>739</v>
      </c>
    </row>
    <row r="29" customFormat="false" ht="25.35" hidden="false" customHeight="false" outlineLevel="0" collapsed="false">
      <c r="A29" s="5" t="s">
        <v>785</v>
      </c>
      <c r="B29" s="5" t="s">
        <v>786</v>
      </c>
      <c r="C29" s="5" t="s">
        <v>787</v>
      </c>
      <c r="D29" s="5" t="s">
        <v>788</v>
      </c>
    </row>
    <row r="30" customFormat="false" ht="25.35" hidden="false" customHeight="false" outlineLevel="0" collapsed="false">
      <c r="A30" s="6" t="s">
        <v>624</v>
      </c>
      <c r="B30" s="12" t="n">
        <v>0.2</v>
      </c>
      <c r="C30" s="12" t="n">
        <v>3</v>
      </c>
      <c r="D30" s="13" t="n">
        <f aca="false">B30*(5-C30)</f>
        <v>0.4</v>
      </c>
    </row>
    <row r="31" customFormat="false" ht="15" hidden="false" customHeight="false" outlineLevel="0" collapsed="false">
      <c r="A31" s="6" t="s">
        <v>622</v>
      </c>
      <c r="B31" s="12" t="n">
        <v>0.2</v>
      </c>
      <c r="C31" s="12" t="n">
        <v>4</v>
      </c>
      <c r="D31" s="13" t="n">
        <f aca="false">B31*(5-C31)</f>
        <v>0.2</v>
      </c>
    </row>
    <row r="32" customFormat="false" ht="15" hidden="false" customHeight="false" outlineLevel="0" collapsed="false">
      <c r="A32" s="6" t="s">
        <v>623</v>
      </c>
      <c r="B32" s="12" t="n">
        <v>0.15</v>
      </c>
      <c r="C32" s="12" t="n">
        <v>2</v>
      </c>
      <c r="D32" s="13" t="n">
        <f aca="false">B32*(5-C32)</f>
        <v>0.45</v>
      </c>
    </row>
    <row r="33" customFormat="false" ht="15" hidden="false" customHeight="false" outlineLevel="0" collapsed="false">
      <c r="A33" s="6" t="s">
        <v>789</v>
      </c>
      <c r="B33" s="12" t="n">
        <v>0.15</v>
      </c>
      <c r="C33" s="12" t="n">
        <v>3</v>
      </c>
      <c r="D33" s="13" t="n">
        <f aca="false">B33*(5-C33)</f>
        <v>0.3</v>
      </c>
    </row>
    <row r="34" customFormat="false" ht="15" hidden="false" customHeight="false" outlineLevel="0" collapsed="false">
      <c r="A34" s="6" t="s">
        <v>625</v>
      </c>
      <c r="B34" s="12" t="n">
        <v>0.15</v>
      </c>
      <c r="C34" s="12" t="n">
        <v>3</v>
      </c>
      <c r="D34" s="13" t="n">
        <f aca="false">B34*(5-C34)</f>
        <v>0.3</v>
      </c>
    </row>
    <row r="35" customFormat="false" ht="15" hidden="false" customHeight="false" outlineLevel="0" collapsed="false">
      <c r="A35" s="6" t="s">
        <v>790</v>
      </c>
      <c r="B35" s="12" t="n">
        <v>0.15</v>
      </c>
      <c r="C35" s="12" t="n">
        <v>4</v>
      </c>
      <c r="D35" s="13" t="n">
        <f aca="false">B35*(5-C35)</f>
        <v>0.15</v>
      </c>
    </row>
    <row r="36" customFormat="false" ht="15" hidden="false" customHeight="false" outlineLevel="0" collapsed="false">
      <c r="A36" s="8" t="s">
        <v>611</v>
      </c>
      <c r="B36" s="14" t="n">
        <f aca="false">SUMPRODUCT(B30:B35,C30:C35)/5*100</f>
        <v>64</v>
      </c>
      <c r="C36" s="6" t="s">
        <v>733</v>
      </c>
      <c r="D36" s="6" t="n">
        <v>64</v>
      </c>
    </row>
    <row r="37" customFormat="false" ht="25.35" hidden="false" customHeight="false" outlineLevel="0" collapsed="false">
      <c r="A37" s="8" t="s">
        <v>791</v>
      </c>
      <c r="B37" s="7" t="str">
        <f aca="false">INDEX(A30:A35,MATCH(MAX(D30:D35),D30:D35,0))</f>
        <v>Данные и аналитика</v>
      </c>
    </row>
    <row r="39" customFormat="false" ht="15" hidden="false" customHeight="false" outlineLevel="0" collapsed="false">
      <c r="A39" s="5" t="s">
        <v>792</v>
      </c>
      <c r="B39" s="5" t="s">
        <v>793</v>
      </c>
      <c r="C39" s="5" t="s">
        <v>794</v>
      </c>
      <c r="D39" s="5" t="s">
        <v>795</v>
      </c>
      <c r="E39" s="5" t="s">
        <v>796</v>
      </c>
      <c r="F39" s="5" t="s">
        <v>797</v>
      </c>
      <c r="G39" s="5" t="s">
        <v>798</v>
      </c>
    </row>
    <row r="40" customFormat="false" ht="15" hidden="false" customHeight="false" outlineLevel="0" collapsed="false">
      <c r="A40" s="6" t="s">
        <v>662</v>
      </c>
      <c r="B40" s="12" t="n">
        <v>3.25</v>
      </c>
      <c r="C40" s="12" t="n">
        <v>0.62</v>
      </c>
      <c r="D40" s="12" t="n">
        <v>2.66</v>
      </c>
      <c r="E40" s="12" t="n">
        <v>2.69</v>
      </c>
      <c r="F40" s="12" t="n">
        <v>2.67</v>
      </c>
      <c r="G40" s="14" t="n">
        <f aca="false">-B40+(D40-C40)/1.15+(E40-C40)/1.15^2+(F40-C40)/1.15^3</f>
        <v>1.43703871126818</v>
      </c>
    </row>
    <row r="41" customFormat="false" ht="15" hidden="false" customHeight="false" outlineLevel="0" collapsed="false">
      <c r="A41" s="6" t="s">
        <v>661</v>
      </c>
      <c r="B41" s="12" t="n">
        <v>0.48</v>
      </c>
      <c r="C41" s="12" t="n">
        <v>1.24</v>
      </c>
      <c r="D41" s="12" t="n">
        <v>3.01</v>
      </c>
      <c r="E41" s="12" t="n">
        <v>2.75</v>
      </c>
      <c r="F41" s="12" t="n">
        <v>2.95</v>
      </c>
      <c r="G41" s="14" t="n">
        <f aca="false">-B41+(D41-C41)/1.15+(E41-C41)/1.15^2+(F41-C41)/1.15^3</f>
        <v>3.32526012985946</v>
      </c>
    </row>
    <row r="42" customFormat="false" ht="15" hidden="false" customHeight="false" outlineLevel="0" collapsed="false">
      <c r="A42" s="6" t="s">
        <v>660</v>
      </c>
      <c r="B42" s="12" t="n">
        <v>2.45</v>
      </c>
      <c r="C42" s="12" t="n">
        <v>0.36</v>
      </c>
      <c r="D42" s="12" t="n">
        <v>0</v>
      </c>
      <c r="E42" s="12" t="n">
        <v>4.26</v>
      </c>
      <c r="F42" s="12" t="n">
        <v>3.98</v>
      </c>
      <c r="G42" s="14" t="n">
        <f aca="false">-B42+(D42-C42)/1.15+(E42-C42)/1.15^2+(F42-C42)/1.15^3</f>
        <v>2.5661255856004</v>
      </c>
    </row>
    <row r="43" customFormat="false" ht="25.35" hidden="false" customHeight="false" outlineLevel="0" collapsed="false">
      <c r="A43" s="8" t="s">
        <v>799</v>
      </c>
      <c r="G43" s="7" t="str">
        <f aca="false">INDEX(A40:A42,MATCH(MAX(G40:G42),G40:G42,0))</f>
        <v>Арендовать (SaaS)</v>
      </c>
    </row>
    <row r="45" customFormat="false" ht="15" hidden="false" customHeight="false" outlineLevel="0" collapsed="false">
      <c r="A45" s="6" t="s">
        <v>800</v>
      </c>
      <c r="B45" s="12" t="n">
        <v>1570</v>
      </c>
    </row>
    <row r="46" customFormat="false" ht="15" hidden="false" customHeight="false" outlineLevel="0" collapsed="false">
      <c r="A46" s="6" t="s">
        <v>801</v>
      </c>
      <c r="B46" s="12" t="n">
        <v>5</v>
      </c>
    </row>
    <row r="47" customFormat="false" ht="25.35" hidden="false" customHeight="false" outlineLevel="0" collapsed="false">
      <c r="A47" s="6" t="s">
        <v>802</v>
      </c>
      <c r="B47" s="12" t="n">
        <v>600</v>
      </c>
      <c r="C47" s="12" t="n">
        <v>180</v>
      </c>
      <c r="D47" s="12" t="n">
        <v>350</v>
      </c>
    </row>
    <row r="48" customFormat="false" ht="15" hidden="false" customHeight="false" outlineLevel="0" collapsed="false">
      <c r="A48" s="8" t="s">
        <v>803</v>
      </c>
      <c r="B48" s="14" t="n">
        <f aca="false">12*B45*B46/60*B47*0.8/1000-C47</f>
        <v>573.6</v>
      </c>
    </row>
    <row r="49" customFormat="false" ht="15" hidden="false" customHeight="false" outlineLevel="0" collapsed="false">
      <c r="A49" s="8" t="s">
        <v>804</v>
      </c>
      <c r="B49" s="14" t="n">
        <f aca="false">D47/(B48/12)</f>
        <v>7.32217573221757</v>
      </c>
    </row>
    <row r="51" customFormat="false" ht="15" hidden="false" customHeight="false" outlineLevel="0" collapsed="false">
      <c r="A51" s="11" t="s">
        <v>743</v>
      </c>
    </row>
    <row r="52" customFormat="false" ht="25.35" hidden="false" customHeight="false" outlineLevel="0" collapsed="false">
      <c r="A52" s="5" t="s">
        <v>785</v>
      </c>
      <c r="B52" s="5" t="s">
        <v>786</v>
      </c>
      <c r="C52" s="5" t="s">
        <v>787</v>
      </c>
      <c r="D52" s="5" t="s">
        <v>788</v>
      </c>
    </row>
    <row r="53" customFormat="false" ht="25.35" hidden="false" customHeight="false" outlineLevel="0" collapsed="false">
      <c r="A53" s="6" t="s">
        <v>624</v>
      </c>
      <c r="B53" s="12" t="n">
        <v>0.2</v>
      </c>
      <c r="C53" s="12" t="n">
        <v>2</v>
      </c>
      <c r="D53" s="13" t="n">
        <f aca="false">B53*(5-C53)</f>
        <v>0.6</v>
      </c>
    </row>
    <row r="54" customFormat="false" ht="15" hidden="false" customHeight="false" outlineLevel="0" collapsed="false">
      <c r="A54" s="6" t="s">
        <v>622</v>
      </c>
      <c r="B54" s="12" t="n">
        <v>0.2</v>
      </c>
      <c r="C54" s="12" t="n">
        <v>1</v>
      </c>
      <c r="D54" s="13" t="n">
        <f aca="false">B54*(5-C54)</f>
        <v>0.8</v>
      </c>
    </row>
    <row r="55" customFormat="false" ht="15" hidden="false" customHeight="false" outlineLevel="0" collapsed="false">
      <c r="A55" s="6" t="s">
        <v>623</v>
      </c>
      <c r="B55" s="12" t="n">
        <v>0.15</v>
      </c>
      <c r="C55" s="12" t="n">
        <v>4</v>
      </c>
      <c r="D55" s="13" t="n">
        <f aca="false">B55*(5-C55)</f>
        <v>0.15</v>
      </c>
    </row>
    <row r="56" customFormat="false" ht="15" hidden="false" customHeight="false" outlineLevel="0" collapsed="false">
      <c r="A56" s="6" t="s">
        <v>789</v>
      </c>
      <c r="B56" s="12" t="n">
        <v>0.15</v>
      </c>
      <c r="C56" s="12" t="n">
        <v>3</v>
      </c>
      <c r="D56" s="13" t="n">
        <f aca="false">B56*(5-C56)</f>
        <v>0.3</v>
      </c>
    </row>
    <row r="57" customFormat="false" ht="15" hidden="false" customHeight="false" outlineLevel="0" collapsed="false">
      <c r="A57" s="6" t="s">
        <v>625</v>
      </c>
      <c r="B57" s="12" t="n">
        <v>0.15</v>
      </c>
      <c r="C57" s="12" t="n">
        <v>3</v>
      </c>
      <c r="D57" s="13" t="n">
        <f aca="false">B57*(5-C57)</f>
        <v>0.3</v>
      </c>
    </row>
    <row r="58" customFormat="false" ht="15" hidden="false" customHeight="false" outlineLevel="0" collapsed="false">
      <c r="A58" s="6" t="s">
        <v>790</v>
      </c>
      <c r="B58" s="12" t="n">
        <v>0.15</v>
      </c>
      <c r="C58" s="12" t="n">
        <v>4</v>
      </c>
      <c r="D58" s="13" t="n">
        <f aca="false">B58*(5-C58)</f>
        <v>0.15</v>
      </c>
    </row>
    <row r="59" customFormat="false" ht="15" hidden="false" customHeight="false" outlineLevel="0" collapsed="false">
      <c r="A59" s="8" t="s">
        <v>611</v>
      </c>
      <c r="B59" s="14" t="n">
        <f aca="false">SUMPRODUCT(B53:B58,C53:C58)/5*100</f>
        <v>54</v>
      </c>
      <c r="C59" s="6" t="s">
        <v>733</v>
      </c>
      <c r="D59" s="6" t="n">
        <v>54</v>
      </c>
    </row>
    <row r="60" customFormat="false" ht="25.35" hidden="false" customHeight="false" outlineLevel="0" collapsed="false">
      <c r="A60" s="8" t="s">
        <v>791</v>
      </c>
      <c r="B60" s="7" t="str">
        <f aca="false">INDEX(A53:A58,MATCH(MAX(D53:D58),D53:D58,0))</f>
        <v>Бизнес-процессы</v>
      </c>
    </row>
    <row r="62" customFormat="false" ht="15" hidden="false" customHeight="false" outlineLevel="0" collapsed="false">
      <c r="A62" s="5" t="s">
        <v>792</v>
      </c>
      <c r="B62" s="5" t="s">
        <v>793</v>
      </c>
      <c r="C62" s="5" t="s">
        <v>794</v>
      </c>
      <c r="D62" s="5" t="s">
        <v>795</v>
      </c>
      <c r="E62" s="5" t="s">
        <v>796</v>
      </c>
      <c r="F62" s="5" t="s">
        <v>797</v>
      </c>
      <c r="G62" s="5" t="s">
        <v>798</v>
      </c>
    </row>
    <row r="63" customFormat="false" ht="15" hidden="false" customHeight="false" outlineLevel="0" collapsed="false">
      <c r="A63" s="6" t="s">
        <v>662</v>
      </c>
      <c r="B63" s="12" t="n">
        <v>3.06</v>
      </c>
      <c r="C63" s="12" t="n">
        <v>0.59</v>
      </c>
      <c r="D63" s="12" t="n">
        <v>3.16</v>
      </c>
      <c r="E63" s="12" t="n">
        <v>3.14</v>
      </c>
      <c r="F63" s="12" t="n">
        <v>3.39</v>
      </c>
      <c r="G63" s="14" t="n">
        <f aca="false">-B63+(D63-C63)/1.15+(E63-C63)/1.15^2+(F63-C63)/1.15^3</f>
        <v>2.94399441111203</v>
      </c>
    </row>
    <row r="64" customFormat="false" ht="15" hidden="false" customHeight="false" outlineLevel="0" collapsed="false">
      <c r="A64" s="6" t="s">
        <v>661</v>
      </c>
      <c r="B64" s="12" t="n">
        <v>0.52</v>
      </c>
      <c r="C64" s="12" t="n">
        <v>1.33</v>
      </c>
      <c r="D64" s="12" t="n">
        <v>3.38</v>
      </c>
      <c r="E64" s="12" t="n">
        <v>3.42</v>
      </c>
      <c r="F64" s="12" t="n">
        <v>3.2</v>
      </c>
      <c r="G64" s="14" t="n">
        <f aca="false">-B64+(D64-C64)/1.15+(E64-C64)/1.15^2+(F64-C64)/1.15^3</f>
        <v>4.07250431495028</v>
      </c>
    </row>
    <row r="65" customFormat="false" ht="15" hidden="false" customHeight="false" outlineLevel="0" collapsed="false">
      <c r="A65" s="6" t="s">
        <v>660</v>
      </c>
      <c r="B65" s="12" t="n">
        <v>2.82</v>
      </c>
      <c r="C65" s="12" t="n">
        <v>0.39</v>
      </c>
      <c r="D65" s="12" t="n">
        <v>0</v>
      </c>
      <c r="E65" s="12" t="n">
        <v>4.28</v>
      </c>
      <c r="F65" s="12" t="n">
        <v>3.75</v>
      </c>
      <c r="G65" s="14" t="n">
        <f aca="false">-B65+(D65-C65)/1.15+(E65-C65)/1.15^2+(F65-C65)/1.15^3</f>
        <v>1.99152297197337</v>
      </c>
    </row>
    <row r="66" customFormat="false" ht="25.35" hidden="false" customHeight="false" outlineLevel="0" collapsed="false">
      <c r="A66" s="8" t="s">
        <v>799</v>
      </c>
      <c r="G66" s="7" t="str">
        <f aca="false">INDEX(A63:A65,MATCH(MAX(G63:G65),G63:G65,0))</f>
        <v>Арендовать (SaaS)</v>
      </c>
    </row>
    <row r="68" customFormat="false" ht="15" hidden="false" customHeight="false" outlineLevel="0" collapsed="false">
      <c r="A68" s="6" t="s">
        <v>800</v>
      </c>
      <c r="B68" s="12" t="n">
        <v>1820</v>
      </c>
    </row>
    <row r="69" customFormat="false" ht="15" hidden="false" customHeight="false" outlineLevel="0" collapsed="false">
      <c r="A69" s="6" t="s">
        <v>801</v>
      </c>
      <c r="B69" s="12" t="n">
        <v>5</v>
      </c>
    </row>
    <row r="70" customFormat="false" ht="25.35" hidden="false" customHeight="false" outlineLevel="0" collapsed="false">
      <c r="A70" s="6" t="s">
        <v>802</v>
      </c>
      <c r="B70" s="12" t="n">
        <v>600</v>
      </c>
      <c r="C70" s="12" t="n">
        <v>180</v>
      </c>
      <c r="D70" s="12" t="n">
        <v>350</v>
      </c>
    </row>
    <row r="71" customFormat="false" ht="15" hidden="false" customHeight="false" outlineLevel="0" collapsed="false">
      <c r="A71" s="8" t="s">
        <v>803</v>
      </c>
      <c r="B71" s="14" t="n">
        <f aca="false">12*B68*B69/60*B70*0.8/1000-C70</f>
        <v>693.6</v>
      </c>
    </row>
    <row r="72" customFormat="false" ht="15" hidden="false" customHeight="false" outlineLevel="0" collapsed="false">
      <c r="A72" s="8" t="s">
        <v>804</v>
      </c>
      <c r="B72" s="14" t="n">
        <f aca="false">D70/(B71/12)</f>
        <v>6.05536332179931</v>
      </c>
    </row>
    <row r="74" customFormat="false" ht="15" hidden="false" customHeight="false" outlineLevel="0" collapsed="false">
      <c r="A74" s="11" t="s">
        <v>747</v>
      </c>
    </row>
    <row r="75" customFormat="false" ht="25.35" hidden="false" customHeight="false" outlineLevel="0" collapsed="false">
      <c r="A75" s="5" t="s">
        <v>785</v>
      </c>
      <c r="B75" s="5" t="s">
        <v>786</v>
      </c>
      <c r="C75" s="5" t="s">
        <v>787</v>
      </c>
      <c r="D75" s="5" t="s">
        <v>788</v>
      </c>
    </row>
    <row r="76" customFormat="false" ht="25.35" hidden="false" customHeight="false" outlineLevel="0" collapsed="false">
      <c r="A76" s="6" t="s">
        <v>624</v>
      </c>
      <c r="B76" s="12" t="n">
        <v>0.2</v>
      </c>
      <c r="C76" s="12" t="n">
        <v>1</v>
      </c>
      <c r="D76" s="13" t="n">
        <f aca="false">B76*(5-C76)</f>
        <v>0.8</v>
      </c>
    </row>
    <row r="77" customFormat="false" ht="15" hidden="false" customHeight="false" outlineLevel="0" collapsed="false">
      <c r="A77" s="6" t="s">
        <v>622</v>
      </c>
      <c r="B77" s="12" t="n">
        <v>0.2</v>
      </c>
      <c r="C77" s="12" t="n">
        <v>3</v>
      </c>
      <c r="D77" s="13" t="n">
        <f aca="false">B77*(5-C77)</f>
        <v>0.4</v>
      </c>
    </row>
    <row r="78" customFormat="false" ht="15" hidden="false" customHeight="false" outlineLevel="0" collapsed="false">
      <c r="A78" s="6" t="s">
        <v>623</v>
      </c>
      <c r="B78" s="12" t="n">
        <v>0.15</v>
      </c>
      <c r="C78" s="12" t="n">
        <v>2</v>
      </c>
      <c r="D78" s="13" t="n">
        <f aca="false">B78*(5-C78)</f>
        <v>0.45</v>
      </c>
    </row>
    <row r="79" customFormat="false" ht="15" hidden="false" customHeight="false" outlineLevel="0" collapsed="false">
      <c r="A79" s="6" t="s">
        <v>789</v>
      </c>
      <c r="B79" s="12" t="n">
        <v>0.15</v>
      </c>
      <c r="C79" s="12" t="n">
        <v>2</v>
      </c>
      <c r="D79" s="13" t="n">
        <f aca="false">B79*(5-C79)</f>
        <v>0.45</v>
      </c>
    </row>
    <row r="80" customFormat="false" ht="15" hidden="false" customHeight="false" outlineLevel="0" collapsed="false">
      <c r="A80" s="6" t="s">
        <v>625</v>
      </c>
      <c r="B80" s="12" t="n">
        <v>0.15</v>
      </c>
      <c r="C80" s="12" t="n">
        <v>1</v>
      </c>
      <c r="D80" s="13" t="n">
        <f aca="false">B80*(5-C80)</f>
        <v>0.6</v>
      </c>
    </row>
    <row r="81" customFormat="false" ht="15" hidden="false" customHeight="false" outlineLevel="0" collapsed="false">
      <c r="A81" s="6" t="s">
        <v>790</v>
      </c>
      <c r="B81" s="12" t="n">
        <v>0.15</v>
      </c>
      <c r="C81" s="12" t="n">
        <v>4</v>
      </c>
      <c r="D81" s="13" t="n">
        <f aca="false">B81*(5-C81)</f>
        <v>0.15</v>
      </c>
    </row>
    <row r="82" customFormat="false" ht="15" hidden="false" customHeight="false" outlineLevel="0" collapsed="false">
      <c r="A82" s="8" t="s">
        <v>611</v>
      </c>
      <c r="B82" s="14" t="n">
        <f aca="false">SUMPRODUCT(B76:B81,C76:C81)/5*100</f>
        <v>43</v>
      </c>
      <c r="C82" s="6" t="s">
        <v>733</v>
      </c>
      <c r="D82" s="6" t="n">
        <v>43</v>
      </c>
    </row>
    <row r="83" customFormat="false" ht="61.15" hidden="false" customHeight="false" outlineLevel="0" collapsed="false">
      <c r="A83" s="8" t="s">
        <v>791</v>
      </c>
      <c r="B83" s="7" t="str">
        <f aca="false">INDEX(A76:A81,MATCH(MAX(D76:D81),D76:D81,0))</f>
        <v>Стратегия и управление цифровыми изменениями</v>
      </c>
    </row>
    <row r="85" customFormat="false" ht="15" hidden="false" customHeight="false" outlineLevel="0" collapsed="false">
      <c r="A85" s="5" t="s">
        <v>792</v>
      </c>
      <c r="B85" s="5" t="s">
        <v>793</v>
      </c>
      <c r="C85" s="5" t="s">
        <v>794</v>
      </c>
      <c r="D85" s="5" t="s">
        <v>795</v>
      </c>
      <c r="E85" s="5" t="s">
        <v>796</v>
      </c>
      <c r="F85" s="5" t="s">
        <v>797</v>
      </c>
      <c r="G85" s="5" t="s">
        <v>798</v>
      </c>
    </row>
    <row r="86" customFormat="false" ht="15" hidden="false" customHeight="false" outlineLevel="0" collapsed="false">
      <c r="A86" s="6" t="s">
        <v>662</v>
      </c>
      <c r="B86" s="12" t="n">
        <v>2.1</v>
      </c>
      <c r="C86" s="12" t="n">
        <v>0.4</v>
      </c>
      <c r="D86" s="12" t="n">
        <v>2.64</v>
      </c>
      <c r="E86" s="12" t="n">
        <v>2.28</v>
      </c>
      <c r="F86" s="12" t="n">
        <v>2.2</v>
      </c>
      <c r="G86" s="14" t="n">
        <f aca="false">-B86+(D86-C86)/1.15+(E86-C86)/1.15^2+(F86-C86)/1.15^3</f>
        <v>2.45290539985206</v>
      </c>
    </row>
    <row r="87" customFormat="false" ht="15" hidden="false" customHeight="false" outlineLevel="0" collapsed="false">
      <c r="A87" s="6" t="s">
        <v>661</v>
      </c>
      <c r="B87" s="12" t="n">
        <v>0.4</v>
      </c>
      <c r="C87" s="12" t="n">
        <v>1.6</v>
      </c>
      <c r="D87" s="12" t="n">
        <v>2.38</v>
      </c>
      <c r="E87" s="12" t="n">
        <v>2.53</v>
      </c>
      <c r="F87" s="12" t="n">
        <v>2.47</v>
      </c>
      <c r="G87" s="14" t="n">
        <f aca="false">-B87+(D87-C87)/1.15+(E87-C87)/1.15^2+(F87-C87)/1.15^3</f>
        <v>1.55351360236706</v>
      </c>
    </row>
    <row r="88" customFormat="false" ht="15" hidden="false" customHeight="false" outlineLevel="0" collapsed="false">
      <c r="A88" s="6" t="s">
        <v>660</v>
      </c>
      <c r="B88" s="12" t="n">
        <v>3.12</v>
      </c>
      <c r="C88" s="12" t="n">
        <v>0.3</v>
      </c>
      <c r="D88" s="12" t="n">
        <v>0</v>
      </c>
      <c r="E88" s="12" t="n">
        <v>2.83</v>
      </c>
      <c r="F88" s="12" t="n">
        <v>3.25</v>
      </c>
      <c r="G88" s="14" t="n">
        <f aca="false">-B88+(D88-C88)/1.15+(E88-C88)/1.15^2+(F88-C88)/1.15^3</f>
        <v>0.471846798717844</v>
      </c>
    </row>
    <row r="89" customFormat="false" ht="37.3" hidden="false" customHeight="false" outlineLevel="0" collapsed="false">
      <c r="A89" s="8" t="s">
        <v>799</v>
      </c>
      <c r="G89" s="7" t="str">
        <f aca="false">INDEX(A86:A88,MATCH(MAX(G86:G88),G86:G88,0))</f>
        <v>Купить коробочное решение</v>
      </c>
    </row>
    <row r="91" customFormat="false" ht="15" hidden="false" customHeight="false" outlineLevel="0" collapsed="false">
      <c r="A91" s="6" t="s">
        <v>800</v>
      </c>
      <c r="B91" s="12" t="n">
        <v>2330</v>
      </c>
    </row>
    <row r="92" customFormat="false" ht="15" hidden="false" customHeight="false" outlineLevel="0" collapsed="false">
      <c r="A92" s="6" t="s">
        <v>801</v>
      </c>
      <c r="B92" s="12" t="n">
        <v>12</v>
      </c>
    </row>
    <row r="93" customFormat="false" ht="25.35" hidden="false" customHeight="false" outlineLevel="0" collapsed="false">
      <c r="A93" s="6" t="s">
        <v>802</v>
      </c>
      <c r="B93" s="12" t="n">
        <v>600</v>
      </c>
      <c r="C93" s="12" t="n">
        <v>180</v>
      </c>
      <c r="D93" s="12" t="n">
        <v>350</v>
      </c>
    </row>
    <row r="94" customFormat="false" ht="15" hidden="false" customHeight="false" outlineLevel="0" collapsed="false">
      <c r="A94" s="8" t="s">
        <v>803</v>
      </c>
      <c r="B94" s="14" t="n">
        <f aca="false">12*B91*B92/60*B93*0.8/1000-C93</f>
        <v>2504.16</v>
      </c>
    </row>
    <row r="95" customFormat="false" ht="15" hidden="false" customHeight="false" outlineLevel="0" collapsed="false">
      <c r="A95" s="8" t="s">
        <v>804</v>
      </c>
      <c r="B95" s="14" t="n">
        <f aca="false">D93/(B94/12)</f>
        <v>1.67720912401763</v>
      </c>
    </row>
    <row r="97" customFormat="false" ht="15" hidden="false" customHeight="false" outlineLevel="0" collapsed="false">
      <c r="A97" s="11" t="s">
        <v>751</v>
      </c>
    </row>
    <row r="98" customFormat="false" ht="25.35" hidden="false" customHeight="false" outlineLevel="0" collapsed="false">
      <c r="A98" s="5" t="s">
        <v>785</v>
      </c>
      <c r="B98" s="5" t="s">
        <v>786</v>
      </c>
      <c r="C98" s="5" t="s">
        <v>787</v>
      </c>
      <c r="D98" s="5" t="s">
        <v>788</v>
      </c>
    </row>
    <row r="99" customFormat="false" ht="25.35" hidden="false" customHeight="false" outlineLevel="0" collapsed="false">
      <c r="A99" s="6" t="s">
        <v>624</v>
      </c>
      <c r="B99" s="12" t="n">
        <v>0.2</v>
      </c>
      <c r="C99" s="12" t="n">
        <v>4</v>
      </c>
      <c r="D99" s="13" t="n">
        <f aca="false">B99*(5-C99)</f>
        <v>0.2</v>
      </c>
    </row>
    <row r="100" customFormat="false" ht="15" hidden="false" customHeight="false" outlineLevel="0" collapsed="false">
      <c r="A100" s="6" t="s">
        <v>622</v>
      </c>
      <c r="B100" s="12" t="n">
        <v>0.2</v>
      </c>
      <c r="C100" s="12" t="n">
        <v>3</v>
      </c>
      <c r="D100" s="13" t="n">
        <f aca="false">B100*(5-C100)</f>
        <v>0.4</v>
      </c>
    </row>
    <row r="101" customFormat="false" ht="15" hidden="false" customHeight="false" outlineLevel="0" collapsed="false">
      <c r="A101" s="6" t="s">
        <v>623</v>
      </c>
      <c r="B101" s="12" t="n">
        <v>0.15</v>
      </c>
      <c r="C101" s="12" t="n">
        <v>1</v>
      </c>
      <c r="D101" s="13" t="n">
        <f aca="false">B101*(5-C101)</f>
        <v>0.6</v>
      </c>
    </row>
    <row r="102" customFormat="false" ht="15" hidden="false" customHeight="false" outlineLevel="0" collapsed="false">
      <c r="A102" s="6" t="s">
        <v>789</v>
      </c>
      <c r="B102" s="12" t="n">
        <v>0.15</v>
      </c>
      <c r="C102" s="12" t="n">
        <v>2</v>
      </c>
      <c r="D102" s="13" t="n">
        <f aca="false">B102*(5-C102)</f>
        <v>0.45</v>
      </c>
    </row>
    <row r="103" customFormat="false" ht="15" hidden="false" customHeight="false" outlineLevel="0" collapsed="false">
      <c r="A103" s="6" t="s">
        <v>625</v>
      </c>
      <c r="B103" s="12" t="n">
        <v>0.15</v>
      </c>
      <c r="C103" s="12" t="n">
        <v>2</v>
      </c>
      <c r="D103" s="13" t="n">
        <f aca="false">B103*(5-C103)</f>
        <v>0.45</v>
      </c>
    </row>
    <row r="104" customFormat="false" ht="15" hidden="false" customHeight="false" outlineLevel="0" collapsed="false">
      <c r="A104" s="6" t="s">
        <v>790</v>
      </c>
      <c r="B104" s="12" t="n">
        <v>0.15</v>
      </c>
      <c r="C104" s="12" t="n">
        <v>2</v>
      </c>
      <c r="D104" s="13" t="n">
        <f aca="false">B104*(5-C104)</f>
        <v>0.45</v>
      </c>
    </row>
    <row r="105" customFormat="false" ht="15" hidden="false" customHeight="false" outlineLevel="0" collapsed="false">
      <c r="A105" s="8" t="s">
        <v>611</v>
      </c>
      <c r="B105" s="14" t="n">
        <f aca="false">SUMPRODUCT(B99:B104,C99:C104)/5*100</f>
        <v>49</v>
      </c>
      <c r="C105" s="6" t="s">
        <v>733</v>
      </c>
      <c r="D105" s="6" t="n">
        <v>49</v>
      </c>
    </row>
    <row r="106" customFormat="false" ht="25.35" hidden="false" customHeight="false" outlineLevel="0" collapsed="false">
      <c r="A106" s="8" t="s">
        <v>791</v>
      </c>
      <c r="B106" s="7" t="str">
        <f aca="false">INDEX(A99:A104,MATCH(MAX(D99:D104),D99:D104,0))</f>
        <v>Данные и аналитика</v>
      </c>
    </row>
    <row r="108" customFormat="false" ht="15" hidden="false" customHeight="false" outlineLevel="0" collapsed="false">
      <c r="A108" s="5" t="s">
        <v>792</v>
      </c>
      <c r="B108" s="5" t="s">
        <v>793</v>
      </c>
      <c r="C108" s="5" t="s">
        <v>794</v>
      </c>
      <c r="D108" s="5" t="s">
        <v>795</v>
      </c>
      <c r="E108" s="5" t="s">
        <v>796</v>
      </c>
      <c r="F108" s="5" t="s">
        <v>797</v>
      </c>
      <c r="G108" s="5" t="s">
        <v>798</v>
      </c>
    </row>
    <row r="109" customFormat="false" ht="15" hidden="false" customHeight="false" outlineLevel="0" collapsed="false">
      <c r="A109" s="6" t="s">
        <v>662</v>
      </c>
      <c r="B109" s="12" t="n">
        <v>2.16</v>
      </c>
      <c r="C109" s="12" t="n">
        <v>0.41</v>
      </c>
      <c r="D109" s="12" t="n">
        <v>1.96</v>
      </c>
      <c r="E109" s="12" t="n">
        <v>1.85</v>
      </c>
      <c r="F109" s="12" t="n">
        <v>2.04</v>
      </c>
      <c r="G109" s="14" t="n">
        <f aca="false">-B109+(D109-C109)/1.15+(E109-C109)/1.15^2+(F109-C109)/1.15^3</f>
        <v>1.34842442672804</v>
      </c>
    </row>
    <row r="110" customFormat="false" ht="15" hidden="false" customHeight="false" outlineLevel="0" collapsed="false">
      <c r="A110" s="6" t="s">
        <v>661</v>
      </c>
      <c r="B110" s="12" t="n">
        <v>0.32</v>
      </c>
      <c r="C110" s="12" t="n">
        <v>1.25</v>
      </c>
      <c r="D110" s="12" t="n">
        <v>1.98</v>
      </c>
      <c r="E110" s="12" t="n">
        <v>2.01</v>
      </c>
      <c r="F110" s="12" t="n">
        <v>1.96</v>
      </c>
      <c r="G110" s="14" t="n">
        <f aca="false">-B110+(D110-C110)/1.15+(E110-C110)/1.15^2+(F110-C110)/1.15^3</f>
        <v>1.35628832086792</v>
      </c>
    </row>
    <row r="111" customFormat="false" ht="15" hidden="false" customHeight="false" outlineLevel="0" collapsed="false">
      <c r="A111" s="6" t="s">
        <v>660</v>
      </c>
      <c r="B111" s="12" t="n">
        <v>2.53</v>
      </c>
      <c r="C111" s="12" t="n">
        <v>0.24</v>
      </c>
      <c r="D111" s="12" t="n">
        <v>0</v>
      </c>
      <c r="E111" s="12" t="n">
        <v>2.55</v>
      </c>
      <c r="F111" s="12" t="n">
        <v>2.33</v>
      </c>
      <c r="G111" s="14" t="n">
        <f aca="false">-B111+(D111-C111)/1.15+(E111-C111)/1.15^2+(F111-C111)/1.15^3</f>
        <v>0.382205145064519</v>
      </c>
    </row>
    <row r="112" customFormat="false" ht="25.35" hidden="false" customHeight="false" outlineLevel="0" collapsed="false">
      <c r="A112" s="8" t="s">
        <v>799</v>
      </c>
      <c r="G112" s="7" t="str">
        <f aca="false">INDEX(A109:A111,MATCH(MAX(G109:G111),G109:G111,0))</f>
        <v>Арендовать (SaaS)</v>
      </c>
    </row>
    <row r="114" customFormat="false" ht="15" hidden="false" customHeight="false" outlineLevel="0" collapsed="false">
      <c r="A114" s="6" t="s">
        <v>800</v>
      </c>
      <c r="B114" s="12" t="n">
        <v>1880</v>
      </c>
    </row>
    <row r="115" customFormat="false" ht="15" hidden="false" customHeight="false" outlineLevel="0" collapsed="false">
      <c r="A115" s="6" t="s">
        <v>801</v>
      </c>
      <c r="B115" s="12" t="n">
        <v>12</v>
      </c>
    </row>
    <row r="116" customFormat="false" ht="25.35" hidden="false" customHeight="false" outlineLevel="0" collapsed="false">
      <c r="A116" s="6" t="s">
        <v>802</v>
      </c>
      <c r="B116" s="12" t="n">
        <v>600</v>
      </c>
      <c r="C116" s="12" t="n">
        <v>180</v>
      </c>
      <c r="D116" s="12" t="n">
        <v>350</v>
      </c>
    </row>
    <row r="117" customFormat="false" ht="15" hidden="false" customHeight="false" outlineLevel="0" collapsed="false">
      <c r="A117" s="8" t="s">
        <v>803</v>
      </c>
      <c r="B117" s="14" t="n">
        <f aca="false">12*B114*B115/60*B116*0.8/1000-C116</f>
        <v>1985.76</v>
      </c>
    </row>
    <row r="118" customFormat="false" ht="15" hidden="false" customHeight="false" outlineLevel="0" collapsed="false">
      <c r="A118" s="8" t="s">
        <v>804</v>
      </c>
      <c r="B118" s="14" t="n">
        <f aca="false">D116/(B117/12)</f>
        <v>2.11505922165821</v>
      </c>
    </row>
    <row r="120" customFormat="false" ht="15" hidden="false" customHeight="false" outlineLevel="0" collapsed="false">
      <c r="A120" s="11" t="s">
        <v>755</v>
      </c>
    </row>
    <row r="121" customFormat="false" ht="25.35" hidden="false" customHeight="false" outlineLevel="0" collapsed="false">
      <c r="A121" s="5" t="s">
        <v>785</v>
      </c>
      <c r="B121" s="5" t="s">
        <v>786</v>
      </c>
      <c r="C121" s="5" t="s">
        <v>787</v>
      </c>
      <c r="D121" s="5" t="s">
        <v>788</v>
      </c>
    </row>
    <row r="122" customFormat="false" ht="25.35" hidden="false" customHeight="false" outlineLevel="0" collapsed="false">
      <c r="A122" s="6" t="s">
        <v>624</v>
      </c>
      <c r="B122" s="12" t="n">
        <v>0.2</v>
      </c>
      <c r="C122" s="12" t="n">
        <v>1</v>
      </c>
      <c r="D122" s="13" t="n">
        <f aca="false">B122*(5-C122)</f>
        <v>0.8</v>
      </c>
    </row>
    <row r="123" customFormat="false" ht="15" hidden="false" customHeight="false" outlineLevel="0" collapsed="false">
      <c r="A123" s="6" t="s">
        <v>622</v>
      </c>
      <c r="B123" s="12" t="n">
        <v>0.2</v>
      </c>
      <c r="C123" s="12" t="n">
        <v>3</v>
      </c>
      <c r="D123" s="13" t="n">
        <f aca="false">B123*(5-C123)</f>
        <v>0.4</v>
      </c>
    </row>
    <row r="124" customFormat="false" ht="15" hidden="false" customHeight="false" outlineLevel="0" collapsed="false">
      <c r="A124" s="6" t="s">
        <v>623</v>
      </c>
      <c r="B124" s="12" t="n">
        <v>0.15</v>
      </c>
      <c r="C124" s="12" t="n">
        <v>1</v>
      </c>
      <c r="D124" s="13" t="n">
        <f aca="false">B124*(5-C124)</f>
        <v>0.6</v>
      </c>
    </row>
    <row r="125" customFormat="false" ht="15" hidden="false" customHeight="false" outlineLevel="0" collapsed="false">
      <c r="A125" s="6" t="s">
        <v>789</v>
      </c>
      <c r="B125" s="12" t="n">
        <v>0.15</v>
      </c>
      <c r="C125" s="12" t="n">
        <v>2</v>
      </c>
      <c r="D125" s="13" t="n">
        <f aca="false">B125*(5-C125)</f>
        <v>0.45</v>
      </c>
    </row>
    <row r="126" customFormat="false" ht="15" hidden="false" customHeight="false" outlineLevel="0" collapsed="false">
      <c r="A126" s="6" t="s">
        <v>625</v>
      </c>
      <c r="B126" s="12" t="n">
        <v>0.15</v>
      </c>
      <c r="C126" s="12" t="n">
        <v>3</v>
      </c>
      <c r="D126" s="13" t="n">
        <f aca="false">B126*(5-C126)</f>
        <v>0.3</v>
      </c>
    </row>
    <row r="127" customFormat="false" ht="15" hidden="false" customHeight="false" outlineLevel="0" collapsed="false">
      <c r="A127" s="6" t="s">
        <v>790</v>
      </c>
      <c r="B127" s="12" t="n">
        <v>0.15</v>
      </c>
      <c r="C127" s="12" t="n">
        <v>4</v>
      </c>
      <c r="D127" s="13" t="n">
        <f aca="false">B127*(5-C127)</f>
        <v>0.15</v>
      </c>
    </row>
    <row r="128" customFormat="false" ht="15" hidden="false" customHeight="false" outlineLevel="0" collapsed="false">
      <c r="A128" s="8" t="s">
        <v>611</v>
      </c>
      <c r="B128" s="14" t="n">
        <f aca="false">SUMPRODUCT(B122:B127,C122:C127)/5*100</f>
        <v>46</v>
      </c>
      <c r="C128" s="6" t="s">
        <v>733</v>
      </c>
      <c r="D128" s="6" t="n">
        <v>46</v>
      </c>
    </row>
    <row r="129" customFormat="false" ht="61.15" hidden="false" customHeight="false" outlineLevel="0" collapsed="false">
      <c r="A129" s="8" t="s">
        <v>791</v>
      </c>
      <c r="B129" s="7" t="str">
        <f aca="false">INDEX(A122:A127,MATCH(MAX(D122:D127),D122:D127,0))</f>
        <v>Стратегия и управление цифровыми изменениями</v>
      </c>
    </row>
    <row r="131" customFormat="false" ht="15" hidden="false" customHeight="false" outlineLevel="0" collapsed="false">
      <c r="A131" s="5" t="s">
        <v>792</v>
      </c>
      <c r="B131" s="5" t="s">
        <v>793</v>
      </c>
      <c r="C131" s="5" t="s">
        <v>794</v>
      </c>
      <c r="D131" s="5" t="s">
        <v>795</v>
      </c>
      <c r="E131" s="5" t="s">
        <v>796</v>
      </c>
      <c r="F131" s="5" t="s">
        <v>797</v>
      </c>
      <c r="G131" s="5" t="s">
        <v>798</v>
      </c>
    </row>
    <row r="132" customFormat="false" ht="15" hidden="false" customHeight="false" outlineLevel="0" collapsed="false">
      <c r="A132" s="6" t="s">
        <v>662</v>
      </c>
      <c r="B132" s="12" t="n">
        <v>3.23</v>
      </c>
      <c r="C132" s="12" t="n">
        <v>0.62</v>
      </c>
      <c r="D132" s="12" t="n">
        <v>2.3</v>
      </c>
      <c r="E132" s="12" t="n">
        <v>2.39</v>
      </c>
      <c r="F132" s="12" t="n">
        <v>2.46</v>
      </c>
      <c r="G132" s="14" t="n">
        <f aca="false">-B132+(D132-C132)/1.15+(E132-C132)/1.15^2+(F132-C132)/1.15^3</f>
        <v>0.779073724007561</v>
      </c>
    </row>
    <row r="133" customFormat="false" ht="15" hidden="false" customHeight="false" outlineLevel="0" collapsed="false">
      <c r="A133" s="6" t="s">
        <v>661</v>
      </c>
      <c r="B133" s="12" t="n">
        <v>0.4</v>
      </c>
      <c r="C133" s="12" t="n">
        <v>1.63</v>
      </c>
      <c r="D133" s="12" t="n">
        <v>2.29</v>
      </c>
      <c r="E133" s="12" t="n">
        <v>2.23</v>
      </c>
      <c r="F133" s="12" t="n">
        <v>2.5</v>
      </c>
      <c r="G133" s="14" t="n">
        <f aca="false">-B133+(D133-C133)/1.15+(E133-C133)/1.15^2+(F133-C133)/1.15^3</f>
        <v>1.19963836607216</v>
      </c>
    </row>
    <row r="134" customFormat="false" ht="15" hidden="false" customHeight="false" outlineLevel="0" collapsed="false">
      <c r="A134" s="6" t="s">
        <v>660</v>
      </c>
      <c r="B134" s="12" t="n">
        <v>2.93</v>
      </c>
      <c r="C134" s="12" t="n">
        <v>0.3</v>
      </c>
      <c r="D134" s="12" t="n">
        <v>0</v>
      </c>
      <c r="E134" s="12" t="n">
        <v>2.92</v>
      </c>
      <c r="F134" s="12" t="n">
        <v>3.34</v>
      </c>
      <c r="G134" s="14" t="n">
        <f aca="false">-B134+(D134-C134)/1.15+(E134-C134)/1.15^2+(F134-C134)/1.15^3</f>
        <v>0.789076189693434</v>
      </c>
    </row>
    <row r="135" customFormat="false" ht="25.35" hidden="false" customHeight="false" outlineLevel="0" collapsed="false">
      <c r="A135" s="8" t="s">
        <v>799</v>
      </c>
      <c r="G135" s="7" t="str">
        <f aca="false">INDEX(A132:A134,MATCH(MAX(G132:G134),G132:G134,0))</f>
        <v>Арендовать (SaaS)</v>
      </c>
    </row>
    <row r="137" customFormat="false" ht="15" hidden="false" customHeight="false" outlineLevel="0" collapsed="false">
      <c r="A137" s="6" t="s">
        <v>800</v>
      </c>
      <c r="B137" s="12" t="n">
        <v>1020</v>
      </c>
    </row>
    <row r="138" customFormat="false" ht="15" hidden="false" customHeight="false" outlineLevel="0" collapsed="false">
      <c r="A138" s="6" t="s">
        <v>801</v>
      </c>
      <c r="B138" s="12" t="n">
        <v>9</v>
      </c>
    </row>
    <row r="139" customFormat="false" ht="25.35" hidden="false" customHeight="false" outlineLevel="0" collapsed="false">
      <c r="A139" s="6" t="s">
        <v>802</v>
      </c>
      <c r="B139" s="12" t="n">
        <v>600</v>
      </c>
      <c r="C139" s="12" t="n">
        <v>180</v>
      </c>
      <c r="D139" s="12" t="n">
        <v>350</v>
      </c>
    </row>
    <row r="140" customFormat="false" ht="15" hidden="false" customHeight="false" outlineLevel="0" collapsed="false">
      <c r="A140" s="8" t="s">
        <v>803</v>
      </c>
      <c r="B140" s="14" t="n">
        <f aca="false">12*B137*B138/60*B139*0.8/1000-C139</f>
        <v>701.28</v>
      </c>
    </row>
    <row r="141" customFormat="false" ht="15" hidden="false" customHeight="false" outlineLevel="0" collapsed="false">
      <c r="A141" s="8" t="s">
        <v>804</v>
      </c>
      <c r="B141" s="14" t="n">
        <f aca="false">D139/(B140/12)</f>
        <v>5.98904859685147</v>
      </c>
    </row>
    <row r="143" customFormat="false" ht="15" hidden="false" customHeight="false" outlineLevel="0" collapsed="false">
      <c r="A143" s="11" t="s">
        <v>759</v>
      </c>
    </row>
    <row r="144" customFormat="false" ht="25.35" hidden="false" customHeight="false" outlineLevel="0" collapsed="false">
      <c r="A144" s="5" t="s">
        <v>785</v>
      </c>
      <c r="B144" s="5" t="s">
        <v>786</v>
      </c>
      <c r="C144" s="5" t="s">
        <v>787</v>
      </c>
      <c r="D144" s="5" t="s">
        <v>788</v>
      </c>
    </row>
    <row r="145" customFormat="false" ht="25.35" hidden="false" customHeight="false" outlineLevel="0" collapsed="false">
      <c r="A145" s="6" t="s">
        <v>624</v>
      </c>
      <c r="B145" s="12" t="n">
        <v>0.2</v>
      </c>
      <c r="C145" s="12" t="n">
        <v>1</v>
      </c>
      <c r="D145" s="13" t="n">
        <f aca="false">B145*(5-C145)</f>
        <v>0.8</v>
      </c>
    </row>
    <row r="146" customFormat="false" ht="15" hidden="false" customHeight="false" outlineLevel="0" collapsed="false">
      <c r="A146" s="6" t="s">
        <v>622</v>
      </c>
      <c r="B146" s="12" t="n">
        <v>0.2</v>
      </c>
      <c r="C146" s="12" t="n">
        <v>4</v>
      </c>
      <c r="D146" s="13" t="n">
        <f aca="false">B146*(5-C146)</f>
        <v>0.2</v>
      </c>
    </row>
    <row r="147" customFormat="false" ht="15" hidden="false" customHeight="false" outlineLevel="0" collapsed="false">
      <c r="A147" s="6" t="s">
        <v>623</v>
      </c>
      <c r="B147" s="12" t="n">
        <v>0.15</v>
      </c>
      <c r="C147" s="12" t="n">
        <v>3</v>
      </c>
      <c r="D147" s="13" t="n">
        <f aca="false">B147*(5-C147)</f>
        <v>0.3</v>
      </c>
    </row>
    <row r="148" customFormat="false" ht="15" hidden="false" customHeight="false" outlineLevel="0" collapsed="false">
      <c r="A148" s="6" t="s">
        <v>789</v>
      </c>
      <c r="B148" s="12" t="n">
        <v>0.15</v>
      </c>
      <c r="C148" s="12" t="n">
        <v>3</v>
      </c>
      <c r="D148" s="13" t="n">
        <f aca="false">B148*(5-C148)</f>
        <v>0.3</v>
      </c>
    </row>
    <row r="149" customFormat="false" ht="15" hidden="false" customHeight="false" outlineLevel="0" collapsed="false">
      <c r="A149" s="6" t="s">
        <v>625</v>
      </c>
      <c r="B149" s="12" t="n">
        <v>0.15</v>
      </c>
      <c r="C149" s="12" t="n">
        <v>3</v>
      </c>
      <c r="D149" s="13" t="n">
        <f aca="false">B149*(5-C149)</f>
        <v>0.3</v>
      </c>
    </row>
    <row r="150" customFormat="false" ht="15" hidden="false" customHeight="false" outlineLevel="0" collapsed="false">
      <c r="A150" s="6" t="s">
        <v>790</v>
      </c>
      <c r="B150" s="12" t="n">
        <v>0.15</v>
      </c>
      <c r="C150" s="12" t="n">
        <v>2</v>
      </c>
      <c r="D150" s="13" t="n">
        <f aca="false">B150*(5-C150)</f>
        <v>0.45</v>
      </c>
    </row>
    <row r="151" customFormat="false" ht="15" hidden="false" customHeight="false" outlineLevel="0" collapsed="false">
      <c r="A151" s="8" t="s">
        <v>611</v>
      </c>
      <c r="B151" s="14" t="n">
        <f aca="false">SUMPRODUCT(B145:B150,C145:C150)/5*100</f>
        <v>53</v>
      </c>
      <c r="C151" s="6" t="s">
        <v>733</v>
      </c>
      <c r="D151" s="6" t="n">
        <v>53</v>
      </c>
    </row>
    <row r="152" customFormat="false" ht="61.15" hidden="false" customHeight="false" outlineLevel="0" collapsed="false">
      <c r="A152" s="8" t="s">
        <v>791</v>
      </c>
      <c r="B152" s="7" t="str">
        <f aca="false">INDEX(A145:A150,MATCH(MAX(D145:D150),D145:D150,0))</f>
        <v>Стратегия и управление цифровыми изменениями</v>
      </c>
    </row>
    <row r="154" customFormat="false" ht="15" hidden="false" customHeight="false" outlineLevel="0" collapsed="false">
      <c r="A154" s="5" t="s">
        <v>792</v>
      </c>
      <c r="B154" s="5" t="s">
        <v>793</v>
      </c>
      <c r="C154" s="5" t="s">
        <v>794</v>
      </c>
      <c r="D154" s="5" t="s">
        <v>795</v>
      </c>
      <c r="E154" s="5" t="s">
        <v>796</v>
      </c>
      <c r="F154" s="5" t="s">
        <v>797</v>
      </c>
      <c r="G154" s="5" t="s">
        <v>798</v>
      </c>
    </row>
    <row r="155" customFormat="false" ht="15" hidden="false" customHeight="false" outlineLevel="0" collapsed="false">
      <c r="A155" s="6" t="s">
        <v>662</v>
      </c>
      <c r="B155" s="12" t="n">
        <v>2.03</v>
      </c>
      <c r="C155" s="12" t="n">
        <v>0.39</v>
      </c>
      <c r="D155" s="12" t="n">
        <v>1.65</v>
      </c>
      <c r="E155" s="12" t="n">
        <v>1.57</v>
      </c>
      <c r="F155" s="12" t="n">
        <v>1.61</v>
      </c>
      <c r="G155" s="14" t="n">
        <f aca="false">-B155+(D155-C155)/1.15+(E155-C155)/1.15^2+(F155-C155)/1.15^3</f>
        <v>0.760071504890278</v>
      </c>
    </row>
    <row r="156" customFormat="false" ht="15" hidden="false" customHeight="false" outlineLevel="0" collapsed="false">
      <c r="A156" s="6" t="s">
        <v>661</v>
      </c>
      <c r="B156" s="12" t="n">
        <v>0.28</v>
      </c>
      <c r="C156" s="12" t="n">
        <v>1.06</v>
      </c>
      <c r="D156" s="12" t="n">
        <v>1.58</v>
      </c>
      <c r="E156" s="12" t="n">
        <v>1.61</v>
      </c>
      <c r="F156" s="12" t="n">
        <v>1.66</v>
      </c>
      <c r="G156" s="14" t="n">
        <f aca="false">-B156+(D156-C156)/1.15+(E156-C156)/1.15^2+(F156-C156)/1.15^3</f>
        <v>0.982562669515904</v>
      </c>
    </row>
    <row r="157" customFormat="false" ht="15" hidden="false" customHeight="false" outlineLevel="0" collapsed="false">
      <c r="A157" s="6" t="s">
        <v>660</v>
      </c>
      <c r="B157" s="12" t="n">
        <v>1.68</v>
      </c>
      <c r="C157" s="12" t="n">
        <v>0.21</v>
      </c>
      <c r="D157" s="12" t="n">
        <v>0</v>
      </c>
      <c r="E157" s="12" t="n">
        <v>2.55</v>
      </c>
      <c r="F157" s="12" t="n">
        <v>2.59</v>
      </c>
      <c r="G157" s="14" t="n">
        <f aca="false">-B157+(D157-C157)/1.15+(E157-C157)/1.15^2+(F157-C157)/1.15^3</f>
        <v>1.47165611901044</v>
      </c>
    </row>
    <row r="158" customFormat="false" ht="25.35" hidden="false" customHeight="false" outlineLevel="0" collapsed="false">
      <c r="A158" s="8" t="s">
        <v>799</v>
      </c>
      <c r="G158" s="7" t="str">
        <f aca="false">INDEX(A155:A157,MATCH(MAX(G155:G157),G155:G157,0))</f>
        <v>Разработать своими силами</v>
      </c>
    </row>
    <row r="160" customFormat="false" ht="15" hidden="false" customHeight="false" outlineLevel="0" collapsed="false">
      <c r="A160" s="6" t="s">
        <v>800</v>
      </c>
      <c r="B160" s="12" t="n">
        <v>920</v>
      </c>
    </row>
    <row r="161" customFormat="false" ht="15" hidden="false" customHeight="false" outlineLevel="0" collapsed="false">
      <c r="A161" s="6" t="s">
        <v>801</v>
      </c>
      <c r="B161" s="12" t="n">
        <v>8</v>
      </c>
    </row>
    <row r="162" customFormat="false" ht="25.35" hidden="false" customHeight="false" outlineLevel="0" collapsed="false">
      <c r="A162" s="6" t="s">
        <v>802</v>
      </c>
      <c r="B162" s="12" t="n">
        <v>600</v>
      </c>
      <c r="C162" s="12" t="n">
        <v>180</v>
      </c>
      <c r="D162" s="12" t="n">
        <v>350</v>
      </c>
    </row>
    <row r="163" customFormat="false" ht="15" hidden="false" customHeight="false" outlineLevel="0" collapsed="false">
      <c r="A163" s="8" t="s">
        <v>803</v>
      </c>
      <c r="B163" s="14" t="n">
        <f aca="false">12*B160*B161/60*B162*0.8/1000-C162</f>
        <v>526.56</v>
      </c>
    </row>
    <row r="164" customFormat="false" ht="15" hidden="false" customHeight="false" outlineLevel="0" collapsed="false">
      <c r="A164" s="8" t="s">
        <v>804</v>
      </c>
      <c r="B164" s="14" t="n">
        <f aca="false">D162/(B163/12)</f>
        <v>7.97629899726527</v>
      </c>
    </row>
    <row r="166" customFormat="false" ht="15" hidden="false" customHeight="false" outlineLevel="0" collapsed="false">
      <c r="A166" s="11" t="s">
        <v>763</v>
      </c>
    </row>
    <row r="167" customFormat="false" ht="25.35" hidden="false" customHeight="false" outlineLevel="0" collapsed="false">
      <c r="A167" s="5" t="s">
        <v>785</v>
      </c>
      <c r="B167" s="5" t="s">
        <v>786</v>
      </c>
      <c r="C167" s="5" t="s">
        <v>787</v>
      </c>
      <c r="D167" s="5" t="s">
        <v>788</v>
      </c>
    </row>
    <row r="168" customFormat="false" ht="25.35" hidden="false" customHeight="false" outlineLevel="0" collapsed="false">
      <c r="A168" s="6" t="s">
        <v>624</v>
      </c>
      <c r="B168" s="12" t="n">
        <v>0.2</v>
      </c>
      <c r="C168" s="12" t="n">
        <v>3</v>
      </c>
      <c r="D168" s="13" t="n">
        <f aca="false">B168*(5-C168)</f>
        <v>0.4</v>
      </c>
    </row>
    <row r="169" customFormat="false" ht="15" hidden="false" customHeight="false" outlineLevel="0" collapsed="false">
      <c r="A169" s="6" t="s">
        <v>622</v>
      </c>
      <c r="B169" s="12" t="n">
        <v>0.2</v>
      </c>
      <c r="C169" s="12" t="n">
        <v>1</v>
      </c>
      <c r="D169" s="13" t="n">
        <f aca="false">B169*(5-C169)</f>
        <v>0.8</v>
      </c>
    </row>
    <row r="170" customFormat="false" ht="15" hidden="false" customHeight="false" outlineLevel="0" collapsed="false">
      <c r="A170" s="6" t="s">
        <v>623</v>
      </c>
      <c r="B170" s="12" t="n">
        <v>0.15</v>
      </c>
      <c r="C170" s="12" t="n">
        <v>3</v>
      </c>
      <c r="D170" s="13" t="n">
        <f aca="false">B170*(5-C170)</f>
        <v>0.3</v>
      </c>
    </row>
    <row r="171" customFormat="false" ht="15" hidden="false" customHeight="false" outlineLevel="0" collapsed="false">
      <c r="A171" s="6" t="s">
        <v>789</v>
      </c>
      <c r="B171" s="12" t="n">
        <v>0.15</v>
      </c>
      <c r="C171" s="12" t="n">
        <v>3</v>
      </c>
      <c r="D171" s="13" t="n">
        <f aca="false">B171*(5-C171)</f>
        <v>0.3</v>
      </c>
    </row>
    <row r="172" customFormat="false" ht="15" hidden="false" customHeight="false" outlineLevel="0" collapsed="false">
      <c r="A172" s="6" t="s">
        <v>625</v>
      </c>
      <c r="B172" s="12" t="n">
        <v>0.15</v>
      </c>
      <c r="C172" s="12" t="n">
        <v>4</v>
      </c>
      <c r="D172" s="13" t="n">
        <f aca="false">B172*(5-C172)</f>
        <v>0.15</v>
      </c>
    </row>
    <row r="173" customFormat="false" ht="15" hidden="false" customHeight="false" outlineLevel="0" collapsed="false">
      <c r="A173" s="6" t="s">
        <v>790</v>
      </c>
      <c r="B173" s="12" t="n">
        <v>0.15</v>
      </c>
      <c r="C173" s="12" t="n">
        <v>4</v>
      </c>
      <c r="D173" s="13" t="n">
        <f aca="false">B173*(5-C173)</f>
        <v>0.15</v>
      </c>
    </row>
    <row r="174" customFormat="false" ht="15" hidden="false" customHeight="false" outlineLevel="0" collapsed="false">
      <c r="A174" s="8" t="s">
        <v>611</v>
      </c>
      <c r="B174" s="14" t="n">
        <f aca="false">SUMPRODUCT(B168:B173,C168:C173)/5*100</f>
        <v>58</v>
      </c>
      <c r="C174" s="6" t="s">
        <v>733</v>
      </c>
      <c r="D174" s="6" t="n">
        <v>58</v>
      </c>
    </row>
    <row r="175" customFormat="false" ht="25.35" hidden="false" customHeight="false" outlineLevel="0" collapsed="false">
      <c r="A175" s="8" t="s">
        <v>791</v>
      </c>
      <c r="B175" s="7" t="str">
        <f aca="false">INDEX(A168:A173,MATCH(MAX(D168:D173),D168:D173,0))</f>
        <v>Бизнес-процессы</v>
      </c>
    </row>
    <row r="177" customFormat="false" ht="15" hidden="false" customHeight="false" outlineLevel="0" collapsed="false">
      <c r="A177" s="5" t="s">
        <v>792</v>
      </c>
      <c r="B177" s="5" t="s">
        <v>793</v>
      </c>
      <c r="C177" s="5" t="s">
        <v>794</v>
      </c>
      <c r="D177" s="5" t="s">
        <v>795</v>
      </c>
      <c r="E177" s="5" t="s">
        <v>796</v>
      </c>
      <c r="F177" s="5" t="s">
        <v>797</v>
      </c>
      <c r="G177" s="5" t="s">
        <v>798</v>
      </c>
    </row>
    <row r="178" customFormat="false" ht="15" hidden="false" customHeight="false" outlineLevel="0" collapsed="false">
      <c r="A178" s="6" t="s">
        <v>662</v>
      </c>
      <c r="B178" s="12" t="n">
        <v>2.32</v>
      </c>
      <c r="C178" s="12" t="n">
        <v>0.45</v>
      </c>
      <c r="D178" s="12" t="n">
        <v>2.11</v>
      </c>
      <c r="E178" s="12" t="n">
        <v>2.11</v>
      </c>
      <c r="F178" s="12" t="n">
        <v>1.92</v>
      </c>
      <c r="G178" s="14" t="n">
        <f aca="false">-B178+(D178-C178)/1.15+(E178-C178)/1.15^2+(F178-C178)/1.15^3</f>
        <v>1.34522561025725</v>
      </c>
    </row>
    <row r="179" customFormat="false" ht="15" hidden="false" customHeight="false" outlineLevel="0" collapsed="false">
      <c r="A179" s="6" t="s">
        <v>661</v>
      </c>
      <c r="B179" s="12" t="n">
        <v>0.32</v>
      </c>
      <c r="C179" s="12" t="n">
        <v>1.26</v>
      </c>
      <c r="D179" s="12" t="n">
        <v>1.83</v>
      </c>
      <c r="E179" s="12" t="n">
        <v>2.1</v>
      </c>
      <c r="F179" s="12" t="n">
        <v>1.92</v>
      </c>
      <c r="G179" s="14" t="n">
        <f aca="false">-B179+(D179-C179)/1.15+(E179-C179)/1.15^2+(F179-C179)/1.15^3</f>
        <v>1.24477356784746</v>
      </c>
    </row>
    <row r="180" customFormat="false" ht="15" hidden="false" customHeight="false" outlineLevel="0" collapsed="false">
      <c r="A180" s="6" t="s">
        <v>660</v>
      </c>
      <c r="B180" s="12" t="n">
        <v>2.28</v>
      </c>
      <c r="C180" s="12" t="n">
        <v>0.24</v>
      </c>
      <c r="D180" s="12" t="n">
        <v>0</v>
      </c>
      <c r="E180" s="12" t="n">
        <v>3.04</v>
      </c>
      <c r="F180" s="12" t="n">
        <v>2.62</v>
      </c>
      <c r="G180" s="14" t="n">
        <f aca="false">-B180+(D180-C180)/1.15+(E180-C180)/1.15^2+(F180-C180)/1.15^3</f>
        <v>1.19339524944522</v>
      </c>
    </row>
    <row r="181" customFormat="false" ht="37.3" hidden="false" customHeight="false" outlineLevel="0" collapsed="false">
      <c r="A181" s="8" t="s">
        <v>799</v>
      </c>
      <c r="G181" s="7" t="str">
        <f aca="false">INDEX(A178:A180,MATCH(MAX(G178:G180),G178:G180,0))</f>
        <v>Купить коробочное решение</v>
      </c>
    </row>
    <row r="183" customFormat="false" ht="15" hidden="false" customHeight="false" outlineLevel="0" collapsed="false">
      <c r="A183" s="6" t="s">
        <v>800</v>
      </c>
      <c r="B183" s="12" t="n">
        <v>1450</v>
      </c>
    </row>
    <row r="184" customFormat="false" ht="15" hidden="false" customHeight="false" outlineLevel="0" collapsed="false">
      <c r="A184" s="6" t="s">
        <v>801</v>
      </c>
      <c r="B184" s="12" t="n">
        <v>9</v>
      </c>
    </row>
    <row r="185" customFormat="false" ht="25.35" hidden="false" customHeight="false" outlineLevel="0" collapsed="false">
      <c r="A185" s="6" t="s">
        <v>802</v>
      </c>
      <c r="B185" s="12" t="n">
        <v>600</v>
      </c>
      <c r="C185" s="12" t="n">
        <v>180</v>
      </c>
      <c r="D185" s="12" t="n">
        <v>350</v>
      </c>
    </row>
    <row r="186" customFormat="false" ht="15" hidden="false" customHeight="false" outlineLevel="0" collapsed="false">
      <c r="A186" s="8" t="s">
        <v>803</v>
      </c>
      <c r="B186" s="14" t="n">
        <f aca="false">12*B183*B184/60*B185*0.8/1000-C185</f>
        <v>1072.8</v>
      </c>
    </row>
    <row r="187" customFormat="false" ht="15" hidden="false" customHeight="false" outlineLevel="0" collapsed="false">
      <c r="A187" s="8" t="s">
        <v>804</v>
      </c>
      <c r="B187" s="14" t="n">
        <f aca="false">D185/(B186/12)</f>
        <v>3.91498881431767</v>
      </c>
    </row>
    <row r="189" customFormat="false" ht="15" hidden="false" customHeight="false" outlineLevel="0" collapsed="false">
      <c r="A189" s="11" t="s">
        <v>767</v>
      </c>
    </row>
    <row r="190" customFormat="false" ht="25.35" hidden="false" customHeight="false" outlineLevel="0" collapsed="false">
      <c r="A190" s="5" t="s">
        <v>785</v>
      </c>
      <c r="B190" s="5" t="s">
        <v>786</v>
      </c>
      <c r="C190" s="5" t="s">
        <v>787</v>
      </c>
      <c r="D190" s="5" t="s">
        <v>788</v>
      </c>
    </row>
    <row r="191" customFormat="false" ht="25.35" hidden="false" customHeight="false" outlineLevel="0" collapsed="false">
      <c r="A191" s="6" t="s">
        <v>624</v>
      </c>
      <c r="B191" s="12" t="n">
        <v>0.2</v>
      </c>
      <c r="C191" s="12" t="n">
        <v>1</v>
      </c>
      <c r="D191" s="13" t="n">
        <f aca="false">B191*(5-C191)</f>
        <v>0.8</v>
      </c>
    </row>
    <row r="192" customFormat="false" ht="15" hidden="false" customHeight="false" outlineLevel="0" collapsed="false">
      <c r="A192" s="6" t="s">
        <v>622</v>
      </c>
      <c r="B192" s="12" t="n">
        <v>0.2</v>
      </c>
      <c r="C192" s="12" t="n">
        <v>2</v>
      </c>
      <c r="D192" s="13" t="n">
        <f aca="false">B192*(5-C192)</f>
        <v>0.6</v>
      </c>
    </row>
    <row r="193" customFormat="false" ht="15" hidden="false" customHeight="false" outlineLevel="0" collapsed="false">
      <c r="A193" s="6" t="s">
        <v>623</v>
      </c>
      <c r="B193" s="12" t="n">
        <v>0.15</v>
      </c>
      <c r="C193" s="12" t="n">
        <v>3</v>
      </c>
      <c r="D193" s="13" t="n">
        <f aca="false">B193*(5-C193)</f>
        <v>0.3</v>
      </c>
    </row>
    <row r="194" customFormat="false" ht="15" hidden="false" customHeight="false" outlineLevel="0" collapsed="false">
      <c r="A194" s="6" t="s">
        <v>789</v>
      </c>
      <c r="B194" s="12" t="n">
        <v>0.15</v>
      </c>
      <c r="C194" s="12" t="n">
        <v>4</v>
      </c>
      <c r="D194" s="13" t="n">
        <f aca="false">B194*(5-C194)</f>
        <v>0.15</v>
      </c>
    </row>
    <row r="195" customFormat="false" ht="15" hidden="false" customHeight="false" outlineLevel="0" collapsed="false">
      <c r="A195" s="6" t="s">
        <v>625</v>
      </c>
      <c r="B195" s="12" t="n">
        <v>0.15</v>
      </c>
      <c r="C195" s="12" t="n">
        <v>1</v>
      </c>
      <c r="D195" s="13" t="n">
        <f aca="false">B195*(5-C195)</f>
        <v>0.6</v>
      </c>
    </row>
    <row r="196" customFormat="false" ht="15" hidden="false" customHeight="false" outlineLevel="0" collapsed="false">
      <c r="A196" s="6" t="s">
        <v>790</v>
      </c>
      <c r="B196" s="12" t="n">
        <v>0.15</v>
      </c>
      <c r="C196" s="12" t="n">
        <v>1</v>
      </c>
      <c r="D196" s="13" t="n">
        <f aca="false">B196*(5-C196)</f>
        <v>0.6</v>
      </c>
    </row>
    <row r="197" customFormat="false" ht="15" hidden="false" customHeight="false" outlineLevel="0" collapsed="false">
      <c r="A197" s="8" t="s">
        <v>611</v>
      </c>
      <c r="B197" s="14" t="n">
        <f aca="false">SUMPRODUCT(B191:B196,C191:C196)/5*100</f>
        <v>39</v>
      </c>
      <c r="C197" s="6" t="s">
        <v>733</v>
      </c>
      <c r="D197" s="6" t="n">
        <v>39</v>
      </c>
    </row>
    <row r="198" customFormat="false" ht="61.15" hidden="false" customHeight="false" outlineLevel="0" collapsed="false">
      <c r="A198" s="8" t="s">
        <v>791</v>
      </c>
      <c r="B198" s="7" t="str">
        <f aca="false">INDEX(A191:A196,MATCH(MAX(D191:D196),D191:D196,0))</f>
        <v>Стратегия и управление цифровыми изменениями</v>
      </c>
    </row>
    <row r="200" customFormat="false" ht="15" hidden="false" customHeight="false" outlineLevel="0" collapsed="false">
      <c r="A200" s="5" t="s">
        <v>792</v>
      </c>
      <c r="B200" s="5" t="s">
        <v>793</v>
      </c>
      <c r="C200" s="5" t="s">
        <v>794</v>
      </c>
      <c r="D200" s="5" t="s">
        <v>795</v>
      </c>
      <c r="E200" s="5" t="s">
        <v>796</v>
      </c>
      <c r="F200" s="5" t="s">
        <v>797</v>
      </c>
      <c r="G200" s="5" t="s">
        <v>798</v>
      </c>
    </row>
    <row r="201" customFormat="false" ht="15" hidden="false" customHeight="false" outlineLevel="0" collapsed="false">
      <c r="A201" s="6" t="s">
        <v>662</v>
      </c>
      <c r="B201" s="12" t="n">
        <v>6.45</v>
      </c>
      <c r="C201" s="12" t="n">
        <v>1.24</v>
      </c>
      <c r="D201" s="12" t="n">
        <v>4.35</v>
      </c>
      <c r="E201" s="12" t="n">
        <v>4.35</v>
      </c>
      <c r="F201" s="12" t="n">
        <v>5.12</v>
      </c>
      <c r="G201" s="14" t="n">
        <f aca="false">-B201+(D201-C201)/1.15+(E201-C201)/1.15^2+(F201-C201)/1.15^3</f>
        <v>1.15711761321608</v>
      </c>
    </row>
    <row r="202" customFormat="false" ht="15" hidden="false" customHeight="false" outlineLevel="0" collapsed="false">
      <c r="A202" s="6" t="s">
        <v>661</v>
      </c>
      <c r="B202" s="12" t="n">
        <v>0.8</v>
      </c>
      <c r="C202" s="12" t="n">
        <v>2.34</v>
      </c>
      <c r="D202" s="12" t="n">
        <v>5.12</v>
      </c>
      <c r="E202" s="12" t="n">
        <v>4.38</v>
      </c>
      <c r="F202" s="12" t="n">
        <v>4.86</v>
      </c>
      <c r="G202" s="14" t="n">
        <f aca="false">-B202+(D202-C202)/1.15+(E202-C202)/1.15^2+(F202-C202)/1.15^3</f>
        <v>4.81686529136188</v>
      </c>
    </row>
    <row r="203" customFormat="false" ht="15" hidden="false" customHeight="false" outlineLevel="0" collapsed="false">
      <c r="A203" s="6" t="s">
        <v>660</v>
      </c>
      <c r="B203" s="12" t="n">
        <v>6.35</v>
      </c>
      <c r="C203" s="12" t="n">
        <v>0.6</v>
      </c>
      <c r="D203" s="12" t="n">
        <v>0</v>
      </c>
      <c r="E203" s="12" t="n">
        <v>5.81</v>
      </c>
      <c r="F203" s="12" t="n">
        <v>6.69</v>
      </c>
      <c r="G203" s="14" t="n">
        <f aca="false">-B203+(D203-C203)/1.15+(E203-C203)/1.15^2+(F203-C203)/1.15^3</f>
        <v>1.07204323169229</v>
      </c>
    </row>
    <row r="204" customFormat="false" ht="25.35" hidden="false" customHeight="false" outlineLevel="0" collapsed="false">
      <c r="A204" s="8" t="s">
        <v>799</v>
      </c>
      <c r="G204" s="7" t="str">
        <f aca="false">INDEX(A201:A203,MATCH(MAX(G201:G203),G201:G203,0))</f>
        <v>Арендовать (SaaS)</v>
      </c>
    </row>
    <row r="206" customFormat="false" ht="15" hidden="false" customHeight="false" outlineLevel="0" collapsed="false">
      <c r="A206" s="6" t="s">
        <v>800</v>
      </c>
      <c r="B206" s="12" t="n">
        <v>1480</v>
      </c>
    </row>
    <row r="207" customFormat="false" ht="15" hidden="false" customHeight="false" outlineLevel="0" collapsed="false">
      <c r="A207" s="6" t="s">
        <v>801</v>
      </c>
      <c r="B207" s="12" t="n">
        <v>12</v>
      </c>
    </row>
    <row r="208" customFormat="false" ht="25.35" hidden="false" customHeight="false" outlineLevel="0" collapsed="false">
      <c r="A208" s="6" t="s">
        <v>802</v>
      </c>
      <c r="B208" s="12" t="n">
        <v>600</v>
      </c>
      <c r="C208" s="12" t="n">
        <v>180</v>
      </c>
      <c r="D208" s="12" t="n">
        <v>350</v>
      </c>
    </row>
    <row r="209" customFormat="false" ht="15" hidden="false" customHeight="false" outlineLevel="0" collapsed="false">
      <c r="A209" s="8" t="s">
        <v>803</v>
      </c>
      <c r="B209" s="14" t="n">
        <f aca="false">12*B206*B207/60*B208*0.8/1000-C208</f>
        <v>1524.96</v>
      </c>
    </row>
    <row r="210" customFormat="false" ht="15" hidden="false" customHeight="false" outlineLevel="0" collapsed="false">
      <c r="A210" s="8" t="s">
        <v>804</v>
      </c>
      <c r="B210" s="14" t="n">
        <f aca="false">D208/(B209/12)</f>
        <v>2.7541706011961</v>
      </c>
    </row>
    <row r="212" customFormat="false" ht="15" hidden="false" customHeight="false" outlineLevel="0" collapsed="false">
      <c r="A212" s="11" t="s">
        <v>771</v>
      </c>
    </row>
    <row r="213" customFormat="false" ht="25.35" hidden="false" customHeight="false" outlineLevel="0" collapsed="false">
      <c r="A213" s="5" t="s">
        <v>785</v>
      </c>
      <c r="B213" s="5" t="s">
        <v>786</v>
      </c>
      <c r="C213" s="5" t="s">
        <v>787</v>
      </c>
      <c r="D213" s="5" t="s">
        <v>788</v>
      </c>
    </row>
    <row r="214" customFormat="false" ht="25.35" hidden="false" customHeight="false" outlineLevel="0" collapsed="false">
      <c r="A214" s="6" t="s">
        <v>624</v>
      </c>
      <c r="B214" s="12" t="n">
        <v>0.2</v>
      </c>
      <c r="C214" s="12" t="n">
        <v>3</v>
      </c>
      <c r="D214" s="13" t="n">
        <f aca="false">B214*(5-C214)</f>
        <v>0.4</v>
      </c>
    </row>
    <row r="215" customFormat="false" ht="15" hidden="false" customHeight="false" outlineLevel="0" collapsed="false">
      <c r="A215" s="6" t="s">
        <v>622</v>
      </c>
      <c r="B215" s="12" t="n">
        <v>0.2</v>
      </c>
      <c r="C215" s="12" t="n">
        <v>3</v>
      </c>
      <c r="D215" s="13" t="n">
        <f aca="false">B215*(5-C215)</f>
        <v>0.4</v>
      </c>
    </row>
    <row r="216" customFormat="false" ht="15" hidden="false" customHeight="false" outlineLevel="0" collapsed="false">
      <c r="A216" s="6" t="s">
        <v>623</v>
      </c>
      <c r="B216" s="12" t="n">
        <v>0.15</v>
      </c>
      <c r="C216" s="12" t="n">
        <v>2</v>
      </c>
      <c r="D216" s="13" t="n">
        <f aca="false">B216*(5-C216)</f>
        <v>0.45</v>
      </c>
    </row>
    <row r="217" customFormat="false" ht="15" hidden="false" customHeight="false" outlineLevel="0" collapsed="false">
      <c r="A217" s="6" t="s">
        <v>789</v>
      </c>
      <c r="B217" s="12" t="n">
        <v>0.15</v>
      </c>
      <c r="C217" s="12" t="n">
        <v>4</v>
      </c>
      <c r="D217" s="13" t="n">
        <f aca="false">B217*(5-C217)</f>
        <v>0.15</v>
      </c>
    </row>
    <row r="218" customFormat="false" ht="15" hidden="false" customHeight="false" outlineLevel="0" collapsed="false">
      <c r="A218" s="6" t="s">
        <v>625</v>
      </c>
      <c r="B218" s="12" t="n">
        <v>0.15</v>
      </c>
      <c r="C218" s="12" t="n">
        <v>1</v>
      </c>
      <c r="D218" s="13" t="n">
        <f aca="false">B218*(5-C218)</f>
        <v>0.6</v>
      </c>
    </row>
    <row r="219" customFormat="false" ht="15" hidden="false" customHeight="false" outlineLevel="0" collapsed="false">
      <c r="A219" s="6" t="s">
        <v>790</v>
      </c>
      <c r="B219" s="12" t="n">
        <v>0.15</v>
      </c>
      <c r="C219" s="12" t="n">
        <v>2</v>
      </c>
      <c r="D219" s="13" t="n">
        <f aca="false">B219*(5-C219)</f>
        <v>0.45</v>
      </c>
    </row>
    <row r="220" customFormat="false" ht="15" hidden="false" customHeight="false" outlineLevel="0" collapsed="false">
      <c r="A220" s="8" t="s">
        <v>611</v>
      </c>
      <c r="B220" s="14" t="n">
        <f aca="false">SUMPRODUCT(B214:B219,C214:C219)/5*100</f>
        <v>51</v>
      </c>
      <c r="C220" s="6" t="s">
        <v>733</v>
      </c>
      <c r="D220" s="6" t="n">
        <v>51</v>
      </c>
    </row>
    <row r="221" customFormat="false" ht="37.3" hidden="false" customHeight="false" outlineLevel="0" collapsed="false">
      <c r="A221" s="8" t="s">
        <v>791</v>
      </c>
      <c r="B221" s="7" t="str">
        <f aca="false">INDEX(A214:A219,MATCH(MAX(D214:D219),D214:D219,0))</f>
        <v>Цифровые компетенции персонала</v>
      </c>
    </row>
    <row r="223" customFormat="false" ht="15" hidden="false" customHeight="false" outlineLevel="0" collapsed="false">
      <c r="A223" s="5" t="s">
        <v>792</v>
      </c>
      <c r="B223" s="5" t="s">
        <v>793</v>
      </c>
      <c r="C223" s="5" t="s">
        <v>794</v>
      </c>
      <c r="D223" s="5" t="s">
        <v>795</v>
      </c>
      <c r="E223" s="5" t="s">
        <v>796</v>
      </c>
      <c r="F223" s="5" t="s">
        <v>797</v>
      </c>
      <c r="G223" s="5" t="s">
        <v>798</v>
      </c>
    </row>
    <row r="224" customFormat="false" ht="15" hidden="false" customHeight="false" outlineLevel="0" collapsed="false">
      <c r="A224" s="6" t="s">
        <v>662</v>
      </c>
      <c r="B224" s="12" t="n">
        <v>1.59</v>
      </c>
      <c r="C224" s="12" t="n">
        <v>0.31</v>
      </c>
      <c r="D224" s="12" t="n">
        <v>1.32</v>
      </c>
      <c r="E224" s="12" t="n">
        <v>1.49</v>
      </c>
      <c r="F224" s="12" t="n">
        <v>1.52</v>
      </c>
      <c r="G224" s="14" t="n">
        <f aca="false">-B224+(D224-C224)/1.15+(E224-C224)/1.15^2+(F224-C224)/1.15^3</f>
        <v>0.976105038218131</v>
      </c>
    </row>
    <row r="225" customFormat="false" ht="15" hidden="false" customHeight="false" outlineLevel="0" collapsed="false">
      <c r="A225" s="6" t="s">
        <v>661</v>
      </c>
      <c r="B225" s="12" t="n">
        <v>0.24</v>
      </c>
      <c r="C225" s="12" t="n">
        <v>0.9</v>
      </c>
      <c r="D225" s="12" t="n">
        <v>1.56</v>
      </c>
      <c r="E225" s="12" t="n">
        <v>1.57</v>
      </c>
      <c r="F225" s="12" t="n">
        <v>1.44</v>
      </c>
      <c r="G225" s="14" t="n">
        <f aca="false">-B225+(D225-C225)/1.15+(E225-C225)/1.15^2+(F225-C225)/1.15^3</f>
        <v>1.19558806608038</v>
      </c>
    </row>
    <row r="226" customFormat="false" ht="15" hidden="false" customHeight="false" outlineLevel="0" collapsed="false">
      <c r="A226" s="6" t="s">
        <v>660</v>
      </c>
      <c r="B226" s="12" t="n">
        <v>1.44</v>
      </c>
      <c r="C226" s="12" t="n">
        <v>0.18</v>
      </c>
      <c r="D226" s="12" t="n">
        <v>0</v>
      </c>
      <c r="E226" s="12" t="n">
        <v>1.89</v>
      </c>
      <c r="F226" s="12" t="n">
        <v>1.78</v>
      </c>
      <c r="G226" s="14" t="n">
        <f aca="false">-B226+(D226-C226)/1.15+(E226-C226)/1.15^2+(F226-C226)/1.15^3</f>
        <v>0.748509903838251</v>
      </c>
    </row>
    <row r="227" customFormat="false" ht="25.35" hidden="false" customHeight="false" outlineLevel="0" collapsed="false">
      <c r="A227" s="8" t="s">
        <v>799</v>
      </c>
      <c r="G227" s="7" t="str">
        <f aca="false">INDEX(A224:A226,MATCH(MAX(G224:G226),G224:G226,0))</f>
        <v>Арендовать (SaaS)</v>
      </c>
    </row>
    <row r="229" customFormat="false" ht="15" hidden="false" customHeight="false" outlineLevel="0" collapsed="false">
      <c r="A229" s="6" t="s">
        <v>800</v>
      </c>
      <c r="B229" s="12" t="n">
        <v>2260</v>
      </c>
    </row>
    <row r="230" customFormat="false" ht="15" hidden="false" customHeight="false" outlineLevel="0" collapsed="false">
      <c r="A230" s="6" t="s">
        <v>801</v>
      </c>
      <c r="B230" s="12" t="n">
        <v>7</v>
      </c>
    </row>
    <row r="231" customFormat="false" ht="25.35" hidden="false" customHeight="false" outlineLevel="0" collapsed="false">
      <c r="A231" s="6" t="s">
        <v>802</v>
      </c>
      <c r="B231" s="12" t="n">
        <v>600</v>
      </c>
      <c r="C231" s="12" t="n">
        <v>180</v>
      </c>
      <c r="D231" s="12" t="n">
        <v>350</v>
      </c>
    </row>
    <row r="232" customFormat="false" ht="15" hidden="false" customHeight="false" outlineLevel="0" collapsed="false">
      <c r="A232" s="8" t="s">
        <v>803</v>
      </c>
      <c r="B232" s="14" t="n">
        <f aca="false">12*B229*B230/60*B231*0.8/1000-C231</f>
        <v>1338.72</v>
      </c>
    </row>
    <row r="233" customFormat="false" ht="15" hidden="false" customHeight="false" outlineLevel="0" collapsed="false">
      <c r="A233" s="8" t="s">
        <v>804</v>
      </c>
      <c r="B233" s="14" t="n">
        <f aca="false">D231/(B232/12)</f>
        <v>3.13732520616709</v>
      </c>
    </row>
    <row r="235" customFormat="false" ht="15" hidden="false" customHeight="false" outlineLevel="0" collapsed="false">
      <c r="A235" s="11" t="s">
        <v>775</v>
      </c>
    </row>
    <row r="236" customFormat="false" ht="25.35" hidden="false" customHeight="false" outlineLevel="0" collapsed="false">
      <c r="A236" s="5" t="s">
        <v>785</v>
      </c>
      <c r="B236" s="5" t="s">
        <v>786</v>
      </c>
      <c r="C236" s="5" t="s">
        <v>787</v>
      </c>
      <c r="D236" s="5" t="s">
        <v>788</v>
      </c>
    </row>
    <row r="237" customFormat="false" ht="25.35" hidden="false" customHeight="false" outlineLevel="0" collapsed="false">
      <c r="A237" s="6" t="s">
        <v>624</v>
      </c>
      <c r="B237" s="12" t="n">
        <v>0.2</v>
      </c>
      <c r="C237" s="12" t="n">
        <v>3</v>
      </c>
      <c r="D237" s="13" t="n">
        <f aca="false">B237*(5-C237)</f>
        <v>0.4</v>
      </c>
    </row>
    <row r="238" customFormat="false" ht="15" hidden="false" customHeight="false" outlineLevel="0" collapsed="false">
      <c r="A238" s="6" t="s">
        <v>622</v>
      </c>
      <c r="B238" s="12" t="n">
        <v>0.2</v>
      </c>
      <c r="C238" s="12" t="n">
        <v>1</v>
      </c>
      <c r="D238" s="13" t="n">
        <f aca="false">B238*(5-C238)</f>
        <v>0.8</v>
      </c>
    </row>
    <row r="239" customFormat="false" ht="15" hidden="false" customHeight="false" outlineLevel="0" collapsed="false">
      <c r="A239" s="6" t="s">
        <v>623</v>
      </c>
      <c r="B239" s="12" t="n">
        <v>0.15</v>
      </c>
      <c r="C239" s="12" t="n">
        <v>2</v>
      </c>
      <c r="D239" s="13" t="n">
        <f aca="false">B239*(5-C239)</f>
        <v>0.45</v>
      </c>
    </row>
    <row r="240" customFormat="false" ht="15" hidden="false" customHeight="false" outlineLevel="0" collapsed="false">
      <c r="A240" s="6" t="s">
        <v>789</v>
      </c>
      <c r="B240" s="12" t="n">
        <v>0.15</v>
      </c>
      <c r="C240" s="12" t="n">
        <v>2</v>
      </c>
      <c r="D240" s="13" t="n">
        <f aca="false">B240*(5-C240)</f>
        <v>0.45</v>
      </c>
    </row>
    <row r="241" customFormat="false" ht="15" hidden="false" customHeight="false" outlineLevel="0" collapsed="false">
      <c r="A241" s="6" t="s">
        <v>625</v>
      </c>
      <c r="B241" s="12" t="n">
        <v>0.15</v>
      </c>
      <c r="C241" s="12" t="n">
        <v>3</v>
      </c>
      <c r="D241" s="13" t="n">
        <f aca="false">B241*(5-C241)</f>
        <v>0.3</v>
      </c>
    </row>
    <row r="242" customFormat="false" ht="15" hidden="false" customHeight="false" outlineLevel="0" collapsed="false">
      <c r="A242" s="6" t="s">
        <v>790</v>
      </c>
      <c r="B242" s="12" t="n">
        <v>0.15</v>
      </c>
      <c r="C242" s="12" t="n">
        <v>2</v>
      </c>
      <c r="D242" s="13" t="n">
        <f aca="false">B242*(5-C242)</f>
        <v>0.45</v>
      </c>
    </row>
    <row r="243" customFormat="false" ht="15" hidden="false" customHeight="false" outlineLevel="0" collapsed="false">
      <c r="A243" s="8" t="s">
        <v>611</v>
      </c>
      <c r="B243" s="14" t="n">
        <f aca="false">SUMPRODUCT(B237:B242,C237:C242)/5*100</f>
        <v>43</v>
      </c>
      <c r="C243" s="6" t="s">
        <v>733</v>
      </c>
      <c r="D243" s="6" t="n">
        <v>43</v>
      </c>
    </row>
    <row r="244" customFormat="false" ht="25.35" hidden="false" customHeight="false" outlineLevel="0" collapsed="false">
      <c r="A244" s="8" t="s">
        <v>791</v>
      </c>
      <c r="B244" s="7" t="str">
        <f aca="false">INDEX(A237:A242,MATCH(MAX(D237:D242),D237:D242,0))</f>
        <v>Бизнес-процессы</v>
      </c>
    </row>
    <row r="246" customFormat="false" ht="15" hidden="false" customHeight="false" outlineLevel="0" collapsed="false">
      <c r="A246" s="5" t="s">
        <v>792</v>
      </c>
      <c r="B246" s="5" t="s">
        <v>793</v>
      </c>
      <c r="C246" s="5" t="s">
        <v>794</v>
      </c>
      <c r="D246" s="5" t="s">
        <v>795</v>
      </c>
      <c r="E246" s="5" t="s">
        <v>796</v>
      </c>
      <c r="F246" s="5" t="s">
        <v>797</v>
      </c>
      <c r="G246" s="5" t="s">
        <v>798</v>
      </c>
    </row>
    <row r="247" customFormat="false" ht="15" hidden="false" customHeight="false" outlineLevel="0" collapsed="false">
      <c r="A247" s="6" t="s">
        <v>662</v>
      </c>
      <c r="B247" s="12" t="n">
        <v>2.5</v>
      </c>
      <c r="C247" s="12" t="n">
        <v>0.48</v>
      </c>
      <c r="D247" s="12" t="n">
        <v>1.74</v>
      </c>
      <c r="E247" s="12" t="n">
        <v>1.91</v>
      </c>
      <c r="F247" s="12" t="n">
        <v>1.79</v>
      </c>
      <c r="G247" s="14" t="n">
        <f aca="false">-B247+(D247-C247)/1.15+(E247-C247)/1.15^2+(F247-C247)/1.15^3</f>
        <v>0.538283882633353</v>
      </c>
    </row>
    <row r="248" customFormat="false" ht="15" hidden="false" customHeight="false" outlineLevel="0" collapsed="false">
      <c r="A248" s="6" t="s">
        <v>661</v>
      </c>
      <c r="B248" s="12" t="n">
        <v>0.32</v>
      </c>
      <c r="C248" s="12" t="n">
        <v>1.36</v>
      </c>
      <c r="D248" s="12" t="n">
        <v>2.09</v>
      </c>
      <c r="E248" s="12" t="n">
        <v>1.83</v>
      </c>
      <c r="F248" s="12" t="n">
        <v>1.79</v>
      </c>
      <c r="G248" s="14" t="n">
        <f aca="false">-B248+(D248-C248)/1.15+(E248-C248)/1.15^2+(F248-C248)/1.15^3</f>
        <v>0.952902112270897</v>
      </c>
    </row>
    <row r="249" customFormat="false" ht="15" hidden="false" customHeight="false" outlineLevel="0" collapsed="false">
      <c r="A249" s="6" t="s">
        <v>660</v>
      </c>
      <c r="B249" s="12" t="n">
        <v>1.82</v>
      </c>
      <c r="C249" s="12" t="n">
        <v>0.24</v>
      </c>
      <c r="D249" s="12" t="n">
        <v>0</v>
      </c>
      <c r="E249" s="12" t="n">
        <v>3.26</v>
      </c>
      <c r="F249" s="12" t="n">
        <v>3.44</v>
      </c>
      <c r="G249" s="14" t="n">
        <f aca="false">-B249+(D249-C249)/1.15+(E249-C249)/1.15^2+(F249-C249)/1.15^3</f>
        <v>2.35891016684474</v>
      </c>
    </row>
    <row r="250" customFormat="false" ht="25.35" hidden="false" customHeight="false" outlineLevel="0" collapsed="false">
      <c r="A250" s="8" t="s">
        <v>799</v>
      </c>
      <c r="G250" s="7" t="str">
        <f aca="false">INDEX(A247:A249,MATCH(MAX(G247:G249),G247:G249,0))</f>
        <v>Разработать своими силами</v>
      </c>
    </row>
    <row r="252" customFormat="false" ht="15" hidden="false" customHeight="false" outlineLevel="0" collapsed="false">
      <c r="A252" s="6" t="s">
        <v>800</v>
      </c>
      <c r="B252" s="12" t="n">
        <v>1490</v>
      </c>
    </row>
    <row r="253" customFormat="false" ht="15" hidden="false" customHeight="false" outlineLevel="0" collapsed="false">
      <c r="A253" s="6" t="s">
        <v>801</v>
      </c>
      <c r="B253" s="12" t="n">
        <v>6</v>
      </c>
    </row>
    <row r="254" customFormat="false" ht="25.35" hidden="false" customHeight="false" outlineLevel="0" collapsed="false">
      <c r="A254" s="6" t="s">
        <v>802</v>
      </c>
      <c r="B254" s="12" t="n">
        <v>600</v>
      </c>
      <c r="C254" s="12" t="n">
        <v>180</v>
      </c>
      <c r="D254" s="12" t="n">
        <v>350</v>
      </c>
    </row>
    <row r="255" customFormat="false" ht="15" hidden="false" customHeight="false" outlineLevel="0" collapsed="false">
      <c r="A255" s="8" t="s">
        <v>803</v>
      </c>
      <c r="B255" s="14" t="n">
        <f aca="false">12*B252*B253/60*B254*0.8/1000-C254</f>
        <v>678.24</v>
      </c>
    </row>
    <row r="256" customFormat="false" ht="15" hidden="false" customHeight="false" outlineLevel="0" collapsed="false">
      <c r="A256" s="8" t="s">
        <v>804</v>
      </c>
      <c r="B256" s="14" t="n">
        <f aca="false">D254/(B255/12)</f>
        <v>6.19249823071479</v>
      </c>
    </row>
    <row r="258" customFormat="false" ht="15" hidden="false" customHeight="false" outlineLevel="0" collapsed="false">
      <c r="A258" s="11" t="s">
        <v>779</v>
      </c>
    </row>
    <row r="259" customFormat="false" ht="25.35" hidden="false" customHeight="false" outlineLevel="0" collapsed="false">
      <c r="A259" s="5" t="s">
        <v>785</v>
      </c>
      <c r="B259" s="5" t="s">
        <v>786</v>
      </c>
      <c r="C259" s="5" t="s">
        <v>787</v>
      </c>
      <c r="D259" s="5" t="s">
        <v>788</v>
      </c>
    </row>
    <row r="260" customFormat="false" ht="25.35" hidden="false" customHeight="false" outlineLevel="0" collapsed="false">
      <c r="A260" s="6" t="s">
        <v>624</v>
      </c>
      <c r="B260" s="12" t="n">
        <v>0.2</v>
      </c>
      <c r="C260" s="12" t="n">
        <v>1</v>
      </c>
      <c r="D260" s="13" t="n">
        <f aca="false">B260*(5-C260)</f>
        <v>0.8</v>
      </c>
    </row>
    <row r="261" customFormat="false" ht="15" hidden="false" customHeight="false" outlineLevel="0" collapsed="false">
      <c r="A261" s="6" t="s">
        <v>622</v>
      </c>
      <c r="B261" s="12" t="n">
        <v>0.2</v>
      </c>
      <c r="C261" s="12" t="n">
        <v>3</v>
      </c>
      <c r="D261" s="13" t="n">
        <f aca="false">B261*(5-C261)</f>
        <v>0.4</v>
      </c>
    </row>
    <row r="262" customFormat="false" ht="15" hidden="false" customHeight="false" outlineLevel="0" collapsed="false">
      <c r="A262" s="6" t="s">
        <v>623</v>
      </c>
      <c r="B262" s="12" t="n">
        <v>0.15</v>
      </c>
      <c r="C262" s="12" t="n">
        <v>3</v>
      </c>
      <c r="D262" s="13" t="n">
        <f aca="false">B262*(5-C262)</f>
        <v>0.3</v>
      </c>
    </row>
    <row r="263" customFormat="false" ht="15" hidden="false" customHeight="false" outlineLevel="0" collapsed="false">
      <c r="A263" s="6" t="s">
        <v>789</v>
      </c>
      <c r="B263" s="12" t="n">
        <v>0.15</v>
      </c>
      <c r="C263" s="12" t="n">
        <v>4</v>
      </c>
      <c r="D263" s="13" t="n">
        <f aca="false">B263*(5-C263)</f>
        <v>0.15</v>
      </c>
    </row>
    <row r="264" customFormat="false" ht="15" hidden="false" customHeight="false" outlineLevel="0" collapsed="false">
      <c r="A264" s="6" t="s">
        <v>625</v>
      </c>
      <c r="B264" s="12" t="n">
        <v>0.15</v>
      </c>
      <c r="C264" s="12" t="n">
        <v>4</v>
      </c>
      <c r="D264" s="13" t="n">
        <f aca="false">B264*(5-C264)</f>
        <v>0.15</v>
      </c>
    </row>
    <row r="265" customFormat="false" ht="15" hidden="false" customHeight="false" outlineLevel="0" collapsed="false">
      <c r="A265" s="6" t="s">
        <v>790</v>
      </c>
      <c r="B265" s="12" t="n">
        <v>0.15</v>
      </c>
      <c r="C265" s="12" t="n">
        <v>3</v>
      </c>
      <c r="D265" s="13" t="n">
        <f aca="false">B265*(5-C265)</f>
        <v>0.3</v>
      </c>
    </row>
    <row r="266" customFormat="false" ht="15" hidden="false" customHeight="false" outlineLevel="0" collapsed="false">
      <c r="A266" s="8" t="s">
        <v>611</v>
      </c>
      <c r="B266" s="14" t="n">
        <f aca="false">SUMPRODUCT(B260:B265,C260:C265)/5*100</f>
        <v>58</v>
      </c>
      <c r="C266" s="6" t="s">
        <v>733</v>
      </c>
      <c r="D266" s="6" t="n">
        <v>58</v>
      </c>
    </row>
    <row r="267" customFormat="false" ht="61.15" hidden="false" customHeight="false" outlineLevel="0" collapsed="false">
      <c r="A267" s="8" t="s">
        <v>791</v>
      </c>
      <c r="B267" s="7" t="str">
        <f aca="false">INDEX(A260:A265,MATCH(MAX(D260:D265),D260:D265,0))</f>
        <v>Стратегия и управление цифровыми изменениями</v>
      </c>
    </row>
    <row r="269" customFormat="false" ht="15" hidden="false" customHeight="false" outlineLevel="0" collapsed="false">
      <c r="A269" s="5" t="s">
        <v>792</v>
      </c>
      <c r="B269" s="5" t="s">
        <v>793</v>
      </c>
      <c r="C269" s="5" t="s">
        <v>794</v>
      </c>
      <c r="D269" s="5" t="s">
        <v>795</v>
      </c>
      <c r="E269" s="5" t="s">
        <v>796</v>
      </c>
      <c r="F269" s="5" t="s">
        <v>797</v>
      </c>
      <c r="G269" s="5" t="s">
        <v>798</v>
      </c>
    </row>
    <row r="270" customFormat="false" ht="15" hidden="false" customHeight="false" outlineLevel="0" collapsed="false">
      <c r="A270" s="6" t="s">
        <v>662</v>
      </c>
      <c r="B270" s="12" t="n">
        <v>2.51</v>
      </c>
      <c r="C270" s="12" t="n">
        <v>0.48</v>
      </c>
      <c r="D270" s="12" t="n">
        <v>2.63</v>
      </c>
      <c r="E270" s="12" t="n">
        <v>2.8</v>
      </c>
      <c r="F270" s="12" t="n">
        <v>2.66</v>
      </c>
      <c r="G270" s="14" t="n">
        <f aca="false">-B270+(D270-C270)/1.15+(E270-C270)/1.15^2+(F270-C270)/1.15^3</f>
        <v>2.54720391222158</v>
      </c>
    </row>
    <row r="271" customFormat="false" ht="15" hidden="false" customHeight="false" outlineLevel="0" collapsed="false">
      <c r="A271" s="6" t="s">
        <v>661</v>
      </c>
      <c r="B271" s="12" t="n">
        <v>0.48</v>
      </c>
      <c r="C271" s="12" t="n">
        <v>1.16</v>
      </c>
      <c r="D271" s="12" t="n">
        <v>2.7</v>
      </c>
      <c r="E271" s="12" t="n">
        <v>2.8</v>
      </c>
      <c r="F271" s="12" t="n">
        <v>3.1</v>
      </c>
      <c r="G271" s="14" t="n">
        <f aca="false">-B271+(D271-C271)/1.15+(E271-C271)/1.15^2+(F271-C271)/1.15^3</f>
        <v>3.3747875400674</v>
      </c>
    </row>
    <row r="272" customFormat="false" ht="15" hidden="false" customHeight="false" outlineLevel="0" collapsed="false">
      <c r="A272" s="6" t="s">
        <v>660</v>
      </c>
      <c r="B272" s="12" t="n">
        <v>3.2</v>
      </c>
      <c r="C272" s="12" t="n">
        <v>0.36</v>
      </c>
      <c r="D272" s="12" t="n">
        <v>0</v>
      </c>
      <c r="E272" s="12" t="n">
        <v>4.01</v>
      </c>
      <c r="F272" s="12" t="n">
        <v>4.15</v>
      </c>
      <c r="G272" s="14" t="n">
        <f aca="false">-B272+(D272-C272)/1.15+(E272-C272)/1.15^2+(F272-C272)/1.15^3</f>
        <v>1.73886742828964</v>
      </c>
    </row>
    <row r="273" customFormat="false" ht="25.35" hidden="false" customHeight="false" outlineLevel="0" collapsed="false">
      <c r="A273" s="8" t="s">
        <v>799</v>
      </c>
      <c r="G273" s="7" t="str">
        <f aca="false">INDEX(A270:A272,MATCH(MAX(G270:G272),G270:G272,0))</f>
        <v>Арендовать (SaaS)</v>
      </c>
    </row>
    <row r="275" customFormat="false" ht="15" hidden="false" customHeight="false" outlineLevel="0" collapsed="false">
      <c r="A275" s="6" t="s">
        <v>800</v>
      </c>
      <c r="B275" s="12" t="n">
        <v>2240</v>
      </c>
    </row>
    <row r="276" customFormat="false" ht="15" hidden="false" customHeight="false" outlineLevel="0" collapsed="false">
      <c r="A276" s="6" t="s">
        <v>801</v>
      </c>
      <c r="B276" s="12" t="n">
        <v>7</v>
      </c>
    </row>
    <row r="277" customFormat="false" ht="25.35" hidden="false" customHeight="false" outlineLevel="0" collapsed="false">
      <c r="A277" s="6" t="s">
        <v>802</v>
      </c>
      <c r="B277" s="12" t="n">
        <v>600</v>
      </c>
      <c r="C277" s="12" t="n">
        <v>180</v>
      </c>
      <c r="D277" s="12" t="n">
        <v>350</v>
      </c>
    </row>
    <row r="278" customFormat="false" ht="15" hidden="false" customHeight="false" outlineLevel="0" collapsed="false">
      <c r="A278" s="8" t="s">
        <v>803</v>
      </c>
      <c r="B278" s="14" t="n">
        <f aca="false">12*B275*B276/60*B277*0.8/1000-C277</f>
        <v>1325.28</v>
      </c>
    </row>
    <row r="279" customFormat="false" ht="15" hidden="false" customHeight="false" outlineLevel="0" collapsed="false">
      <c r="A279" s="8" t="s">
        <v>804</v>
      </c>
      <c r="B279" s="14" t="n">
        <f aca="false">D277/(B278/12)</f>
        <v>3.16914161535675</v>
      </c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  <col collapsed="false" customWidth="true" hidden="false" outlineLevel="0" max="8" min="6" style="0" width="16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805</v>
      </c>
    </row>
    <row r="3" customFormat="false" ht="15" hidden="false" customHeight="false" outlineLevel="0" collapsed="false">
      <c r="A3" s="5" t="s">
        <v>806</v>
      </c>
      <c r="B3" s="5" t="s">
        <v>807</v>
      </c>
      <c r="C3" s="5" t="s">
        <v>808</v>
      </c>
      <c r="D3" s="5" t="s">
        <v>809</v>
      </c>
      <c r="E3" s="5" t="s">
        <v>810</v>
      </c>
      <c r="F3" s="5" t="s">
        <v>602</v>
      </c>
      <c r="G3" s="5" t="s">
        <v>603</v>
      </c>
      <c r="H3" s="5" t="s">
        <v>811</v>
      </c>
      <c r="I3" s="5" t="s">
        <v>812</v>
      </c>
      <c r="J3" s="5" t="s">
        <v>813</v>
      </c>
    </row>
    <row r="4" customFormat="false" ht="15" hidden="false" customHeight="false" outlineLevel="0" collapsed="false">
      <c r="A4" s="6" t="s">
        <v>814</v>
      </c>
      <c r="B4" s="12" t="n">
        <v>0.35</v>
      </c>
      <c r="C4" s="12" t="n">
        <v>0.25</v>
      </c>
      <c r="D4" s="12" t="n">
        <v>0.25</v>
      </c>
      <c r="E4" s="12" t="n">
        <v>0.15</v>
      </c>
      <c r="F4" s="14" t="n">
        <f aca="false">SUMPRODUCT(B4:E4,B18:E18)</f>
        <v>3.6</v>
      </c>
      <c r="G4" s="14" t="n">
        <f aca="false">SUMPRODUCT(B4:E4,B19:E19)</f>
        <v>3.75</v>
      </c>
      <c r="H4" s="14" t="n">
        <f aca="false">SUMPRODUCT(B4:E4,B20:E20)</f>
        <v>3.75</v>
      </c>
      <c r="I4" s="12" t="s">
        <v>316</v>
      </c>
      <c r="J4" s="7" t="str">
        <f aca="false">IF(I4="да",IF(F4&gt;=G4,"Polymatica","PolyAnalyst"),INDEX({"Polymatica","PolyAnalyst","Power BI"},MATCH(MAX(F4:H4),F4:H4,0)))</f>
        <v>PolyAnalyst</v>
      </c>
    </row>
    <row r="5" customFormat="false" ht="15" hidden="false" customHeight="false" outlineLevel="0" collapsed="false">
      <c r="A5" s="6" t="s">
        <v>815</v>
      </c>
      <c r="B5" s="12" t="n">
        <v>0.3</v>
      </c>
      <c r="C5" s="12" t="n">
        <v>0.3</v>
      </c>
      <c r="D5" s="12" t="n">
        <v>0.25</v>
      </c>
      <c r="E5" s="12" t="n">
        <v>0.15</v>
      </c>
      <c r="F5" s="14" t="n">
        <f aca="false">SUMPRODUCT(B5:E5,B18:E18)</f>
        <v>3.6</v>
      </c>
      <c r="G5" s="14" t="n">
        <f aca="false">SUMPRODUCT(B5:E5,B19:E19)</f>
        <v>3.8</v>
      </c>
      <c r="H5" s="14" t="n">
        <f aca="false">SUMPRODUCT(B5:E5,B20:E20)</f>
        <v>3.65</v>
      </c>
      <c r="I5" s="12" t="s">
        <v>315</v>
      </c>
      <c r="J5" s="7" t="str">
        <f aca="false">IF(I5="да",IF(F5&gt;=G5,"Polymatica","PolyAnalyst"),INDEX({"Polymatica","PolyAnalyst","Power BI"},MATCH(MAX(F5:H5),F5:H5,0)))</f>
        <v>PolyAnalyst</v>
      </c>
    </row>
    <row r="6" customFormat="false" ht="15" hidden="false" customHeight="false" outlineLevel="0" collapsed="false">
      <c r="A6" s="6" t="s">
        <v>816</v>
      </c>
      <c r="B6" s="12" t="n">
        <v>0.4</v>
      </c>
      <c r="C6" s="12" t="n">
        <v>0.3</v>
      </c>
      <c r="D6" s="12" t="n">
        <v>0.15</v>
      </c>
      <c r="E6" s="12" t="n">
        <v>0.15</v>
      </c>
      <c r="F6" s="14" t="n">
        <f aca="false">SUMPRODUCT(B6:E6,B18:E18)</f>
        <v>3.7</v>
      </c>
      <c r="G6" s="14" t="n">
        <f aca="false">SUMPRODUCT(B6:E6,B19:E19)</f>
        <v>3.6</v>
      </c>
      <c r="H6" s="14" t="n">
        <f aca="false">SUMPRODUCT(B6:E6,B20:E20)</f>
        <v>3.95</v>
      </c>
      <c r="I6" s="12" t="s">
        <v>316</v>
      </c>
      <c r="J6" s="7" t="str">
        <f aca="false">IF(I6="да",IF(F6&gt;=G6,"Polymatica","PolyAnalyst"),INDEX({"Polymatica","PolyAnalyst","Power BI"},MATCH(MAX(F6:H6),F6:H6,0)))</f>
        <v>Polymatica</v>
      </c>
    </row>
    <row r="7" customFormat="false" ht="15" hidden="false" customHeight="false" outlineLevel="0" collapsed="false">
      <c r="A7" s="6" t="s">
        <v>817</v>
      </c>
      <c r="B7" s="12" t="n">
        <v>0.3</v>
      </c>
      <c r="C7" s="12" t="n">
        <v>0.35</v>
      </c>
      <c r="D7" s="12" t="n">
        <v>0.2</v>
      </c>
      <c r="E7" s="12" t="n">
        <v>0.15</v>
      </c>
      <c r="F7" s="14" t="n">
        <f aca="false">SUMPRODUCT(B7:E7,B18:E18)</f>
        <v>3.65</v>
      </c>
      <c r="G7" s="14" t="n">
        <f aca="false">SUMPRODUCT(B7:E7,B19:E19)</f>
        <v>3.75</v>
      </c>
      <c r="H7" s="14" t="n">
        <f aca="false">SUMPRODUCT(B7:E7,B20:E20)</f>
        <v>3.7</v>
      </c>
      <c r="I7" s="12" t="s">
        <v>315</v>
      </c>
      <c r="J7" s="7" t="str">
        <f aca="false">IF(I7="да",IF(F7&gt;=G7,"Polymatica","PolyAnalyst"),INDEX({"Polymatica","PolyAnalyst","Power BI"},MATCH(MAX(F7:H7),F7:H7,0)))</f>
        <v>PolyAnalyst</v>
      </c>
    </row>
    <row r="8" customFormat="false" ht="15" hidden="false" customHeight="false" outlineLevel="0" collapsed="false">
      <c r="A8" s="6" t="s">
        <v>818</v>
      </c>
      <c r="B8" s="12" t="n">
        <v>0.4</v>
      </c>
      <c r="C8" s="12" t="n">
        <v>0.3</v>
      </c>
      <c r="D8" s="12" t="n">
        <v>0.1</v>
      </c>
      <c r="E8" s="12" t="n">
        <v>0.2</v>
      </c>
      <c r="F8" s="14" t="n">
        <f aca="false">SUMPRODUCT(B8:E8,B18:E18)</f>
        <v>3.7</v>
      </c>
      <c r="G8" s="14" t="n">
        <f aca="false">SUMPRODUCT(B8:E8,B19:E19)</f>
        <v>3.5</v>
      </c>
      <c r="H8" s="14" t="n">
        <f aca="false">SUMPRODUCT(B8:E8,B20:E20)</f>
        <v>4.1</v>
      </c>
      <c r="I8" s="12" t="s">
        <v>315</v>
      </c>
      <c r="J8" s="7" t="str">
        <f aca="false">IF(I8="да",IF(F8&gt;=G8,"Polymatica","PolyAnalyst"),INDEX({"Polymatica","PolyAnalyst","Power BI"},MATCH(MAX(F8:H8),F8:H8,0)))</f>
        <v>Power BI</v>
      </c>
    </row>
    <row r="9" customFormat="false" ht="15" hidden="false" customHeight="false" outlineLevel="0" collapsed="false">
      <c r="A9" s="6" t="s">
        <v>819</v>
      </c>
      <c r="B9" s="12" t="n">
        <v>0.35</v>
      </c>
      <c r="C9" s="12" t="n">
        <v>0.3</v>
      </c>
      <c r="D9" s="12" t="n">
        <v>0.15</v>
      </c>
      <c r="E9" s="12" t="n">
        <v>0.2</v>
      </c>
      <c r="F9" s="14" t="n">
        <f aca="false">SUMPRODUCT(B9:E9,B18:E18)</f>
        <v>3.65</v>
      </c>
      <c r="G9" s="14" t="n">
        <f aca="false">SUMPRODUCT(B9:E9,B19:E19)</f>
        <v>3.6</v>
      </c>
      <c r="H9" s="14" t="n">
        <f aca="false">SUMPRODUCT(B9:E9,B20:E20)</f>
        <v>3.95</v>
      </c>
      <c r="I9" s="12" t="s">
        <v>315</v>
      </c>
      <c r="J9" s="7" t="str">
        <f aca="false">IF(I9="да",IF(F9&gt;=G9,"Polymatica","PolyAnalyst"),INDEX({"Polymatica","PolyAnalyst","Power BI"},MATCH(MAX(F9:H9),F9:H9,0)))</f>
        <v>Power BI</v>
      </c>
    </row>
    <row r="10" customFormat="false" ht="15" hidden="false" customHeight="false" outlineLevel="0" collapsed="false">
      <c r="A10" s="6" t="s">
        <v>820</v>
      </c>
      <c r="B10" s="12" t="n">
        <v>0.35</v>
      </c>
      <c r="C10" s="12" t="n">
        <v>0.35</v>
      </c>
      <c r="D10" s="12" t="n">
        <v>0.15</v>
      </c>
      <c r="E10" s="12" t="n">
        <v>0.15</v>
      </c>
      <c r="F10" s="14" t="n">
        <f aca="false">SUMPRODUCT(B10:E10,B18:E18)</f>
        <v>3.7</v>
      </c>
      <c r="G10" s="14" t="n">
        <f aca="false">SUMPRODUCT(B10:E10,B19:E19)</f>
        <v>3.65</v>
      </c>
      <c r="H10" s="14" t="n">
        <f aca="false">SUMPRODUCT(B10:E10,B20:E20)</f>
        <v>3.85</v>
      </c>
      <c r="I10" s="12" t="s">
        <v>315</v>
      </c>
      <c r="J10" s="7" t="str">
        <f aca="false">IF(I10="да",IF(F10&gt;=G10,"Polymatica","PolyAnalyst"),INDEX({"Polymatica","PolyAnalyst","Power BI"},MATCH(MAX(F10:H10),F10:H10,0)))</f>
        <v>Power BI</v>
      </c>
    </row>
    <row r="11" customFormat="false" ht="15" hidden="false" customHeight="false" outlineLevel="0" collapsed="false">
      <c r="A11" s="6" t="s">
        <v>821</v>
      </c>
      <c r="B11" s="12" t="n">
        <v>0.3</v>
      </c>
      <c r="C11" s="12" t="n">
        <v>0.4</v>
      </c>
      <c r="D11" s="12" t="n">
        <v>0.1</v>
      </c>
      <c r="E11" s="12" t="n">
        <v>0.2</v>
      </c>
      <c r="F11" s="14" t="n">
        <f aca="false">SUMPRODUCT(B11:E11,B18:E18)</f>
        <v>3.7</v>
      </c>
      <c r="G11" s="14" t="n">
        <f aca="false">SUMPRODUCT(B11:E11,B19:E19)</f>
        <v>3.6</v>
      </c>
      <c r="H11" s="14" t="n">
        <f aca="false">SUMPRODUCT(B11:E11,B20:E20)</f>
        <v>3.9</v>
      </c>
      <c r="I11" s="12" t="s">
        <v>315</v>
      </c>
      <c r="J11" s="7" t="str">
        <f aca="false">IF(I11="да",IF(F11&gt;=G11,"Polymatica","PolyAnalyst"),INDEX({"Polymatica","PolyAnalyst","Power BI"},MATCH(MAX(F11:H11),F11:H11,0)))</f>
        <v>Power BI</v>
      </c>
    </row>
    <row r="12" customFormat="false" ht="15" hidden="false" customHeight="false" outlineLevel="0" collapsed="false">
      <c r="A12" s="6" t="s">
        <v>822</v>
      </c>
      <c r="B12" s="12" t="n">
        <v>0.25</v>
      </c>
      <c r="C12" s="12" t="n">
        <v>0.2</v>
      </c>
      <c r="D12" s="12" t="n">
        <v>0.4</v>
      </c>
      <c r="E12" s="12" t="n">
        <v>0.15</v>
      </c>
      <c r="F12" s="14" t="n">
        <f aca="false">SUMPRODUCT(B12:E12,B18:E18)</f>
        <v>3.45</v>
      </c>
      <c r="G12" s="14" t="n">
        <f aca="false">SUMPRODUCT(B12:E12,B19:E19)</f>
        <v>4</v>
      </c>
      <c r="H12" s="14" t="n">
        <f aca="false">SUMPRODUCT(B12:E12,B20:E20)</f>
        <v>3.4</v>
      </c>
      <c r="I12" s="12" t="s">
        <v>316</v>
      </c>
      <c r="J12" s="7" t="str">
        <f aca="false">IF(I12="да",IF(F12&gt;=G12,"Polymatica","PolyAnalyst"),INDEX({"Polymatica","PolyAnalyst","Power BI"},MATCH(MAX(F12:H12),F12:H12,0)))</f>
        <v>PolyAnalyst</v>
      </c>
    </row>
    <row r="13" customFormat="false" ht="15" hidden="false" customHeight="false" outlineLevel="0" collapsed="false">
      <c r="A13" s="6" t="s">
        <v>823</v>
      </c>
      <c r="B13" s="12" t="n">
        <v>0.3</v>
      </c>
      <c r="C13" s="12" t="n">
        <v>0.3</v>
      </c>
      <c r="D13" s="12" t="n">
        <v>0.25</v>
      </c>
      <c r="E13" s="12" t="n">
        <v>0.15</v>
      </c>
      <c r="F13" s="14" t="n">
        <f aca="false">SUMPRODUCT(B13:E13,B18:E18)</f>
        <v>3.6</v>
      </c>
      <c r="G13" s="14" t="n">
        <f aca="false">SUMPRODUCT(B13:E13,B19:E19)</f>
        <v>3.8</v>
      </c>
      <c r="H13" s="14" t="n">
        <f aca="false">SUMPRODUCT(B13:E13,B20:E20)</f>
        <v>3.65</v>
      </c>
      <c r="I13" s="12" t="s">
        <v>315</v>
      </c>
      <c r="J13" s="7" t="str">
        <f aca="false">IF(I13="да",IF(F13&gt;=G13,"Polymatica","PolyAnalyst"),INDEX({"Polymatica","PolyAnalyst","Power BI"},MATCH(MAX(F13:H13),F13:H13,0)))</f>
        <v>PolyAnalyst</v>
      </c>
    </row>
    <row r="14" customFormat="false" ht="15" hidden="false" customHeight="false" outlineLevel="0" collapsed="false">
      <c r="A14" s="6" t="s">
        <v>824</v>
      </c>
      <c r="B14" s="12" t="n">
        <v>0.3</v>
      </c>
      <c r="C14" s="12" t="n">
        <v>0.25</v>
      </c>
      <c r="D14" s="12" t="n">
        <v>0.3</v>
      </c>
      <c r="E14" s="12" t="n">
        <v>0.15</v>
      </c>
      <c r="F14" s="14" t="n">
        <f aca="false">SUMPRODUCT(B14:E14,B18:E18)</f>
        <v>3.55</v>
      </c>
      <c r="G14" s="14" t="n">
        <f aca="false">SUMPRODUCT(B14:E14,B19:E19)</f>
        <v>3.85</v>
      </c>
      <c r="H14" s="14" t="n">
        <f aca="false">SUMPRODUCT(B14:E14,B20:E20)</f>
        <v>3.6</v>
      </c>
      <c r="I14" s="12" t="s">
        <v>316</v>
      </c>
      <c r="J14" s="7" t="str">
        <f aca="false">IF(I14="да",IF(F14&gt;=G14,"Polymatica","PolyAnalyst"),INDEX({"Polymatica","PolyAnalyst","Power BI"},MATCH(MAX(F14:H14),F14:H14,0)))</f>
        <v>PolyAnalyst</v>
      </c>
    </row>
    <row r="15" customFormat="false" ht="15" hidden="false" customHeight="false" outlineLevel="0" collapsed="false">
      <c r="A15" s="6" t="s">
        <v>825</v>
      </c>
      <c r="B15" s="12" t="n">
        <v>0.3</v>
      </c>
      <c r="C15" s="12" t="n">
        <v>0.2</v>
      </c>
      <c r="D15" s="12" t="n">
        <v>0.35</v>
      </c>
      <c r="E15" s="12" t="n">
        <v>0.15</v>
      </c>
      <c r="F15" s="14" t="n">
        <f aca="false">SUMPRODUCT(B15:E15,B18:E18)</f>
        <v>3.5</v>
      </c>
      <c r="G15" s="14" t="n">
        <f aca="false">SUMPRODUCT(B15:E15,B19:E19)</f>
        <v>3.9</v>
      </c>
      <c r="H15" s="14" t="n">
        <f aca="false">SUMPRODUCT(B15:E15,B20:E20)</f>
        <v>3.55</v>
      </c>
      <c r="I15" s="12" t="s">
        <v>316</v>
      </c>
      <c r="J15" s="7" t="str">
        <f aca="false">IF(I15="да",IF(F15&gt;=G15,"Polymatica","PolyAnalyst"),INDEX({"Polymatica","PolyAnalyst","Power BI"},MATCH(MAX(F15:H15),F15:H15,0)))</f>
        <v>PolyAnalyst</v>
      </c>
    </row>
    <row r="17" customFormat="false" ht="15" hidden="false" customHeight="false" outlineLevel="0" collapsed="false">
      <c r="A17" s="15" t="s">
        <v>826</v>
      </c>
    </row>
    <row r="18" customFormat="false" ht="15" hidden="false" customHeight="false" outlineLevel="0" collapsed="false">
      <c r="A18" s="8" t="s">
        <v>608</v>
      </c>
      <c r="B18" s="12" t="n">
        <v>4</v>
      </c>
      <c r="C18" s="12" t="n">
        <v>4</v>
      </c>
      <c r="D18" s="12" t="n">
        <v>3</v>
      </c>
      <c r="E18" s="12" t="n">
        <v>3</v>
      </c>
    </row>
    <row r="19" customFormat="false" ht="15" hidden="false" customHeight="false" outlineLevel="0" collapsed="false">
      <c r="A19" s="8" t="s">
        <v>607</v>
      </c>
      <c r="B19" s="12" t="n">
        <v>3</v>
      </c>
      <c r="C19" s="12" t="n">
        <v>4</v>
      </c>
      <c r="D19" s="12" t="n">
        <v>5</v>
      </c>
      <c r="E19" s="12" t="n">
        <v>3</v>
      </c>
    </row>
    <row r="20" customFormat="false" ht="15" hidden="false" customHeight="false" outlineLevel="0" collapsed="false">
      <c r="A20" s="8" t="s">
        <v>827</v>
      </c>
      <c r="B20" s="12" t="n">
        <v>5</v>
      </c>
      <c r="C20" s="12" t="n">
        <v>3</v>
      </c>
      <c r="D20" s="12" t="n">
        <v>2</v>
      </c>
      <c r="E20" s="12" t="n">
        <v>5</v>
      </c>
    </row>
    <row r="22" customFormat="false" ht="45.75" hidden="false" customHeight="true" outlineLevel="0" collapsed="false">
      <c r="A22" s="9" t="s">
        <v>828</v>
      </c>
      <c r="B22" s="9"/>
      <c r="C22" s="9"/>
      <c r="D22" s="9"/>
      <c r="E22" s="9"/>
      <c r="F22" s="9"/>
      <c r="G22" s="9"/>
      <c r="H22" s="9"/>
      <c r="I22" s="9"/>
      <c r="J22" s="9"/>
    </row>
  </sheetData>
  <mergeCells count="1"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2026-10-13T22:13:47Z</dcterms:created>
  <dc:creator/>
  <dc:description/>
  <dc:language>ru-RU</dc:language>
  <cp:lastModifiedBy/>
  <dcterms:modified xsi:type="dcterms:W3CDTF">2026-10-13T22:13:48Z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